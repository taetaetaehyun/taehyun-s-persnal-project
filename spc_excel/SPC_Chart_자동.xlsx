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 Chart" sheetId="1" state="visible" r:id="rId1"/>
    <sheet xmlns:r="http://schemas.openxmlformats.org/officeDocument/2006/relationships" name="계산" sheetId="2" state="visible" r:id="rId2"/>
    <sheet xmlns:r="http://schemas.openxmlformats.org/officeDocument/2006/relationships" name="결과기록" sheetId="3" state="visible" r:id="rId3"/>
    <sheet xmlns:r="http://schemas.openxmlformats.org/officeDocument/2006/relationships" name="측정데이터" sheetId="4" state="visible" r:id="rId4"/>
    <sheet xmlns:r="http://schemas.openxmlformats.org/officeDocument/2006/relationships" name="설정 안내" sheetId="5" state="visible" r:id="rId5"/>
  </sheets>
  <definedNames>
    <definedName name="R_HDR">'결과기록'!$1:$1</definedName>
    <definedName name="R_BODY">'결과기록'!$A$2:$CZ$100000</definedName>
    <definedName name="R_ID">INDEX(R_BODY,0,MATCH("기록ID",R_HDR,0))</definedName>
    <definedName name="R_LAST">MATCH(REPT("z",50),R_ID)</definedName>
    <definedName name="L_ID">INDEX(R_ID,1):INDEX(R_ID,R_LAST)</definedName>
    <definedName name="D_HDR">'측정데이터'!$1:$1</definedName>
    <definedName name="D_BODY">'측정데이터'!$A$2:$J$1000000</definedName>
    <definedName name="D_ID">INDEX(D_BODY,0,MATCH("기록ID",D_HDR,0))</definedName>
    <definedName name="D_LOT">INDEX(D_BODY,0,MATCH("Lot",D_HDR,0))</definedName>
    <definedName name="D_SEQ">INDEX(D_BODY,0,MATCH("순번",D_HDR,0))</definedName>
    <definedName name="D_VAL">INDEX(D_BODY,0,MATCH("값",D_HDR,0))</definedName>
    <definedName name="_xlnm.Print_Area" localSheetId="0">'SPC Chart'!$A$1:$AJ$57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16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1"/>
    </font>
    <font>
      <b val="1"/>
      <color rgb="001F4E9C"/>
    </font>
    <font>
      <color rgb="00555555"/>
    </font>
    <font>
      <b val="1"/>
      <sz val="12"/>
    </font>
    <font>
      <sz val="11"/>
    </font>
    <font>
      <sz val="9"/>
    </font>
    <font>
      <b val="1"/>
      <sz val="16"/>
    </font>
    <font>
      <sz val="12"/>
    </font>
    <font>
      <b val="1"/>
      <sz val="9"/>
    </font>
    <font>
      <sz val="10"/>
    </font>
    <font>
      <b val="1"/>
      <sz val="10"/>
    </font>
    <font>
      <b val="1"/>
      <color rgb="001F4E9C"/>
      <sz val="12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F3F4F6"/>
      </patternFill>
    </fill>
  </fills>
  <borders count="4">
    <border>
      <left/>
      <right/>
      <top/>
      <bottom/>
      <diagonal/>
    </border>
    <border>
      <left style="medium">
        <color rgb="001F3FBF"/>
      </left>
      <right style="medium">
        <color rgb="001F3FBF"/>
      </right>
      <top style="medium">
        <color rgb="001F3FBF"/>
      </top>
      <bottom style="medium">
        <color rgb="001F3FB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B7BCC6"/>
      </left>
      <right style="thin">
        <color rgb="00B7BCC6"/>
      </right>
      <top style="thin">
        <color rgb="00B7BCC6"/>
      </top>
      <bottom style="thin">
        <color rgb="00B7BCC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2" fontId="13" fillId="0" borderId="2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right" vertical="center"/>
    </xf>
    <xf numFmtId="0" fontId="13" fillId="2" borderId="2" applyAlignment="1" pivotButton="0" quotePrefix="0" xfId="0">
      <alignment horizontal="center" vertical="center" wrapText="1"/>
    </xf>
    <xf numFmtId="2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 wrapText="1"/>
    </xf>
    <xf numFmtId="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5" borderId="0" applyAlignment="1" pivotButton="0" quotePrefix="0" xfId="0">
      <alignment vertical="top" wrapText="1"/>
    </xf>
    <xf numFmtId="0" fontId="14" fillId="0" borderId="0" pivotButton="0" quotePrefix="0" xfId="0"/>
  </cellXfs>
  <cellStyles count="1">
    <cellStyle name="Normal" xfId="0" builtinId="0" hidden="0"/>
  </cellStyles>
  <dxfs count="2">
    <dxf>
      <font>
        <b val="1"/>
        <color rgb="00D00000"/>
      </font>
    </dxf>
    <dxf>
      <font>
        <b val="1"/>
        <color rgb="00D00000"/>
      </font>
      <fill>
        <patternFill patternType="solid">
          <fgColor rgb="00FF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Xbar Chart</a:t>
            </a:r>
          </a:p>
        </rich>
      </tx>
    </title>
    <plotArea>
      <lineChart>
        <grouping val="standard"/>
        <ser>
          <idx val="0"/>
          <order val="0"/>
          <tx>
            <strRef>
              <f>'계산'!O1</f>
            </strRef>
          </tx>
          <spPr>
            <a:ln xmlns:a="http://schemas.openxmlformats.org/drawingml/2006/main" w="19050">
              <a:solidFill>
                <a:srgbClr val="1F4E9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4E9C"/>
              </a:solidFill>
              <a:ln xmlns:a="http://schemas.openxmlformats.org/drawingml/2006/main">
                <a:solidFill>
                  <a:srgbClr val="1F4E9C"/>
                </a:solidFill>
                <a:prstDash val="solid"/>
              </a:ln>
            </spPr>
          </marker>
          <cat>
            <numRef>
              <f>'계산'!$T$2:$T$31</f>
            </numRef>
          </cat>
          <val>
            <numRef>
              <f>'계산'!$O$2:$O$31</f>
            </numRef>
          </val>
          <smooth val="0"/>
        </ser>
        <ser>
          <idx val="1"/>
          <order val="1"/>
          <tx>
            <strRef>
              <f>'계산'!P1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'계산'!$T$2:$T$31</f>
            </numRef>
          </cat>
          <val>
            <numRef>
              <f>'계산'!$P$2:$P$31</f>
            </numRef>
          </val>
          <smooth val="0"/>
        </ser>
        <ser>
          <idx val="2"/>
          <order val="2"/>
          <tx>
            <strRef>
              <f>'계산'!Q1</f>
            </strRef>
          </tx>
          <spPr>
            <a:ln xmlns:a="http://schemas.openxmlformats.org/drawingml/2006/main" w="19050">
              <a:solidFill>
                <a:srgbClr val="008A3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'계산'!$T$2:$T$31</f>
            </numRef>
          </cat>
          <val>
            <numRef>
              <f>'계산'!$Q$2:$Q$31</f>
            </numRef>
          </val>
          <smooth val="0"/>
        </ser>
        <ser>
          <idx val="3"/>
          <order val="3"/>
          <tx>
            <strRef>
              <f>'계산'!R1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'계산'!$T$2:$T$31</f>
            </numRef>
          </cat>
          <val>
            <numRef>
              <f>'계산'!$R$2:$R$31</f>
            </numRef>
          </val>
          <smooth val="0"/>
        </ser>
        <ser>
          <idx val="4"/>
          <order val="4"/>
          <tx>
            <strRef>
              <f>'계산'!S1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D00000"/>
              </a:solidFill>
              <a:ln xmlns:a="http://schemas.openxmlformats.org/drawingml/2006/main">
                <a:solidFill>
                  <a:srgbClr val="D00000"/>
                </a:solidFill>
                <a:prstDash val="solid"/>
              </a:ln>
            </spPr>
          </marker>
          <cat>
            <numRef>
              <f>'계산'!$T$2:$T$31</f>
            </numRef>
          </cat>
          <val>
            <numRef>
              <f>'계산'!$S$2:$S$31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/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 Chart</a:t>
            </a:r>
          </a:p>
        </rich>
      </tx>
    </title>
    <plotArea>
      <lineChart>
        <grouping val="standard"/>
        <ser>
          <idx val="0"/>
          <order val="0"/>
          <tx>
            <strRef>
              <f>'계산'!U1</f>
            </strRef>
          </tx>
          <spPr>
            <a:ln xmlns:a="http://schemas.openxmlformats.org/drawingml/2006/main" w="19050">
              <a:solidFill>
                <a:srgbClr val="1F4E9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4E9C"/>
              </a:solidFill>
              <a:ln xmlns:a="http://schemas.openxmlformats.org/drawingml/2006/main">
                <a:solidFill>
                  <a:srgbClr val="1F4E9C"/>
                </a:solidFill>
                <a:prstDash val="solid"/>
              </a:ln>
            </spPr>
          </marker>
          <cat>
            <numRef>
              <f>'계산'!$T$2:$T$31</f>
            </numRef>
          </cat>
          <val>
            <numRef>
              <f>'계산'!$U$2:$U$31</f>
            </numRef>
          </val>
          <smooth val="0"/>
        </ser>
        <ser>
          <idx val="1"/>
          <order val="1"/>
          <tx>
            <strRef>
              <f>'계산'!V1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'계산'!$T$2:$T$31</f>
            </numRef>
          </cat>
          <val>
            <numRef>
              <f>'계산'!$V$2:$V$31</f>
            </numRef>
          </val>
          <smooth val="0"/>
        </ser>
        <ser>
          <idx val="2"/>
          <order val="2"/>
          <tx>
            <strRef>
              <f>'계산'!W1</f>
            </strRef>
          </tx>
          <spPr>
            <a:ln xmlns:a="http://schemas.openxmlformats.org/drawingml/2006/main" w="19050">
              <a:solidFill>
                <a:srgbClr val="008A3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'계산'!$T$2:$T$31</f>
            </numRef>
          </cat>
          <val>
            <numRef>
              <f>'계산'!$W$2:$W$31</f>
            </numRef>
          </val>
          <smooth val="0"/>
        </ser>
        <ser>
          <idx val="3"/>
          <order val="3"/>
          <tx>
            <strRef>
              <f>'계산'!X1</f>
            </strRef>
          </tx>
          <spPr>
            <a:ln xmlns:a="http://schemas.openxmlformats.org/drawingml/2006/main" w="19050">
              <a:solidFill>
                <a:srgbClr val="E67E22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'계산'!$T$2:$T$31</f>
            </numRef>
          </cat>
          <val>
            <numRef>
              <f>'계산'!$X$2:$X$31</f>
            </numRef>
          </val>
          <smooth val="0"/>
        </ser>
        <ser>
          <idx val="4"/>
          <order val="4"/>
          <tx>
            <strRef>
              <f>'계산'!Y1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D00000"/>
              </a:solidFill>
              <a:ln xmlns:a="http://schemas.openxmlformats.org/drawingml/2006/main">
                <a:solidFill>
                  <a:srgbClr val="D00000"/>
                </a:solidFill>
                <a:prstDash val="solid"/>
              </a:ln>
            </spPr>
          </marker>
          <cat>
            <numRef>
              <f>'계산'!$T$2:$T$31</f>
            </numRef>
          </cat>
          <val>
            <numRef>
              <f>'계산'!$Y$2:$Y$31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'계산'!AE6</f>
            </strRef>
          </tx>
          <spPr>
            <a:solidFill xmlns:a="http://schemas.openxmlformats.org/drawingml/2006/main">
              <a:srgbClr val="BCCDE5"/>
            </a:solidFill>
            <a:ln xmlns:a="http://schemas.openxmlformats.org/drawingml/2006/main" w="6350">
              <a:solidFill>
                <a:srgbClr val="000000"/>
              </a:solidFill>
              <a:prstDash val="solid"/>
            </a:ln>
          </spPr>
          <cat>
            <numRef>
              <f>'계산'!$AD$7:$AD$86</f>
            </numRef>
          </cat>
          <val>
            <numRef>
              <f>'계산'!$AE$7:$AE$86</f>
            </numRef>
          </val>
        </ser>
        <ser>
          <idx val="1"/>
          <order val="1"/>
          <tx>
            <strRef>
              <f>'계산'!AH6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6350">
              <a:solidFill>
                <a:srgbClr val="C00000"/>
              </a:solidFill>
              <a:prstDash val="solid"/>
            </a:ln>
          </spPr>
          <cat>
            <numRef>
              <f>'계산'!$AD$7:$AD$86</f>
            </numRef>
          </cat>
          <val>
            <numRef>
              <f>'계산'!$AH$7:$AH$86</f>
            </numRef>
          </val>
        </ser>
        <ser>
          <idx val="2"/>
          <order val="2"/>
          <tx>
            <strRef>
              <f>'계산'!AI6</f>
            </strRef>
          </tx>
          <spPr>
            <a:solidFill xmlns:a="http://schemas.openxmlformats.org/drawingml/2006/main">
              <a:srgbClr val="00A651"/>
            </a:solidFill>
            <a:ln xmlns:a="http://schemas.openxmlformats.org/drawingml/2006/main" w="6350">
              <a:solidFill>
                <a:srgbClr val="00A651"/>
              </a:solidFill>
              <a:prstDash val="solid"/>
            </a:ln>
          </spPr>
          <cat>
            <numRef>
              <f>'계산'!$AD$7:$AD$86</f>
            </numRef>
          </cat>
          <val>
            <numRef>
              <f>'계산'!$AI$7:$AI$86</f>
            </numRef>
          </val>
        </ser>
        <ser>
          <idx val="3"/>
          <order val="3"/>
          <tx>
            <strRef>
              <f>'계산'!AJ6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6350">
              <a:solidFill>
                <a:srgbClr val="C00000"/>
              </a:solidFill>
              <a:prstDash val="solid"/>
            </a:ln>
          </spPr>
          <cat>
            <numRef>
              <f>'계산'!$AD$7:$AD$86</f>
            </numRef>
          </cat>
          <val>
            <numRef>
              <f>'계산'!$AJ$7:$AJ$86</f>
            </numRef>
          </val>
        </ser>
        <gapWidth val="0"/>
        <overlap val="100"/>
        <axId val="10"/>
        <axId val="100"/>
      </barChart>
      <lineChart>
        <grouping val="standard"/>
        <ser>
          <idx val="4"/>
          <order val="4"/>
          <tx>
            <strRef>
              <f>'계산'!AF6</f>
            </strRef>
          </tx>
          <spPr>
            <a:ln xmlns:a="http://schemas.openxmlformats.org/drawingml/2006/main" w="25400">
              <a:solidFill>
                <a:srgbClr val="B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'계산'!$AF$7:$AF$86</f>
            </numRef>
          </val>
          <smooth val="0"/>
        </ser>
        <ser>
          <idx val="5"/>
          <order val="5"/>
          <tx>
            <strRef>
              <f>'계산'!AG6</f>
            </strRef>
          </tx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'계산'!$AG$7:$AG$86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측정값 (Value)</a:t>
                </a:r>
              </a:p>
            </rich>
          </tx>
        </title>
        <majorTickMark val="none"/>
        <minorTickMark val="none"/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빈도수 (Frequency)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18</col>
      <colOff>0</colOff>
      <row>31</row>
      <rowOff>0</rowOff>
    </from>
    <ext cx="1080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48</row>
      <rowOff>0</rowOff>
    </from>
    <ext cx="1080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31</row>
      <rowOff>0</rowOff>
    </from>
    <ext cx="6660000" cy="59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FBF"/>
    <outlinePr summaryBelow="1" summaryRight="1"/>
    <pageSetUpPr fitToPage="1"/>
  </sheetPr>
  <dimension ref="A1:AJ5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1.5" customWidth="1" min="4" max="4"/>
    <col width="6" customWidth="1" min="5" max="5"/>
    <col width="4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8.6" customWidth="1" min="22" max="22"/>
    <col width="8.6" customWidth="1" min="23" max="23"/>
    <col width="8.6" customWidth="1" min="24" max="24"/>
    <col width="8.6" customWidth="1" min="25" max="25"/>
    <col width="8.6" customWidth="1" min="26" max="26"/>
    <col width="8.6" customWidth="1" min="27" max="27"/>
    <col width="8.6" customWidth="1" min="28" max="28"/>
    <col width="8.6" customWidth="1" min="29" max="29"/>
    <col width="8.6" customWidth="1" min="30" max="30"/>
    <col width="8.6" customWidth="1" min="31" max="31"/>
    <col width="8.6" customWidth="1" min="32" max="32"/>
    <col width="8.6" customWidth="1" min="33" max="33"/>
    <col width="8.6" customWidth="1" min="34" max="34"/>
    <col width="8.6" customWidth="1" min="35" max="35"/>
    <col width="8.6" customWidth="1" min="36" max="36"/>
  </cols>
  <sheetData>
    <row r="1" ht="30" customHeight="1">
      <c r="A1" s="1" t="inlineStr">
        <is>
          <t>SPC Chart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>
      <c r="A3" s="2" t="inlineStr">
        <is>
          <t>기록 선택 ▶</t>
        </is>
      </c>
      <c r="B3" s="2" t="n"/>
      <c r="C3" s="3" t="n"/>
      <c r="D3" s="3" t="n"/>
      <c r="E3" s="3" t="n"/>
      <c r="F3" s="3" t="n"/>
      <c r="G3" s="3" t="n"/>
      <c r="H3" s="3" t="n"/>
      <c r="I3" s="3" t="n"/>
      <c r="J3" s="3" t="n"/>
      <c r="K3" s="4">
        <f>IF('계산'!$B$1="","(표시할 기록 없음 - 설정 안내 시트 참고)","표시 중: "&amp;'계산'!$B$1)</f>
        <v/>
      </c>
      <c r="L3" s="4" t="n"/>
      <c r="M3" s="4" t="n"/>
      <c r="N3" s="4" t="n"/>
      <c r="O3" s="4" t="n"/>
      <c r="P3" s="4" t="n"/>
      <c r="Q3" s="5">
        <f>IF('계산'!$AN$3="","","저장일시 "&amp;'계산'!$AN$3&amp;"   작성자 "&amp;'계산'!$AN$4&amp;"   부분군 "&amp;'계산'!$AN$14)</f>
        <v/>
      </c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</row>
    <row r="4">
      <c r="A4" s="6" t="inlineStr">
        <is>
          <t>1. Specification</t>
        </is>
      </c>
      <c r="E4" s="6" t="inlineStr">
        <is>
          <t>3. 측정Data</t>
        </is>
      </c>
    </row>
    <row r="5" ht="24" customHeight="1">
      <c r="A5" s="2" t="inlineStr">
        <is>
          <t>고객명</t>
        </is>
      </c>
      <c r="B5" s="2" t="n"/>
      <c r="C5" s="7">
        <f>'계산'!$AN$7</f>
        <v/>
      </c>
      <c r="E5" s="2" t="inlineStr">
        <is>
          <t>공정명</t>
        </is>
      </c>
      <c r="F5" s="2" t="n"/>
      <c r="G5" s="8">
        <f>'계산'!$AN$9</f>
        <v/>
      </c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2" t="inlineStr">
        <is>
          <t>항  목</t>
        </is>
      </c>
      <c r="U5" s="2" t="n"/>
      <c r="V5" s="2" t="n"/>
      <c r="W5" s="9">
        <f>'계산'!$AN$10</f>
        <v/>
      </c>
      <c r="X5" s="9" t="n"/>
      <c r="Y5" s="9" t="n"/>
      <c r="Z5" s="9" t="n"/>
      <c r="AA5" s="9" t="n"/>
      <c r="AB5" s="9" t="n"/>
      <c r="AC5" s="2" t="inlineStr">
        <is>
          <t>측정 일자</t>
        </is>
      </c>
      <c r="AD5" s="2" t="n"/>
      <c r="AE5" s="2" t="n"/>
      <c r="AF5" s="9">
        <f>'계산'!$AN$12</f>
        <v/>
      </c>
      <c r="AG5" s="9" t="n"/>
      <c r="AH5" s="9" t="n"/>
      <c r="AI5" s="9" t="n"/>
      <c r="AJ5" s="9" t="n"/>
    </row>
    <row r="6">
      <c r="A6" s="2" t="n"/>
      <c r="B6" s="2" t="n"/>
      <c r="C6" s="7" t="n"/>
      <c r="E6" s="2" t="inlineStr">
        <is>
          <t>Lot Date</t>
        </is>
      </c>
      <c r="F6" s="2" t="n"/>
      <c r="G6" s="10">
        <f>'계산'!$T$2&amp;""</f>
        <v/>
      </c>
      <c r="H6" s="10">
        <f>'계산'!$T$3&amp;""</f>
        <v/>
      </c>
      <c r="I6" s="10">
        <f>'계산'!$T$4&amp;""</f>
        <v/>
      </c>
      <c r="J6" s="10">
        <f>'계산'!$T$5&amp;""</f>
        <v/>
      </c>
      <c r="K6" s="10">
        <f>'계산'!$T$6&amp;""</f>
        <v/>
      </c>
      <c r="L6" s="10">
        <f>'계산'!$T$7&amp;""</f>
        <v/>
      </c>
      <c r="M6" s="10">
        <f>'계산'!$T$8&amp;""</f>
        <v/>
      </c>
      <c r="N6" s="10">
        <f>'계산'!$T$9&amp;""</f>
        <v/>
      </c>
      <c r="O6" s="10">
        <f>'계산'!$T$10&amp;""</f>
        <v/>
      </c>
      <c r="P6" s="10">
        <f>'계산'!$T$11&amp;""</f>
        <v/>
      </c>
      <c r="Q6" s="10">
        <f>'계산'!$T$12&amp;""</f>
        <v/>
      </c>
      <c r="R6" s="10">
        <f>'계산'!$T$13&amp;""</f>
        <v/>
      </c>
      <c r="S6" s="10">
        <f>'계산'!$T$14&amp;""</f>
        <v/>
      </c>
      <c r="T6" s="10">
        <f>'계산'!$T$15&amp;""</f>
        <v/>
      </c>
      <c r="U6" s="10">
        <f>'계산'!$T$16&amp;""</f>
        <v/>
      </c>
      <c r="V6" s="10">
        <f>'계산'!$T$17&amp;""</f>
        <v/>
      </c>
      <c r="W6" s="10">
        <f>'계산'!$T$18&amp;""</f>
        <v/>
      </c>
      <c r="X6" s="10">
        <f>'계산'!$T$19&amp;""</f>
        <v/>
      </c>
      <c r="Y6" s="10">
        <f>'계산'!$T$20&amp;""</f>
        <v/>
      </c>
      <c r="Z6" s="10">
        <f>'계산'!$T$21&amp;""</f>
        <v/>
      </c>
      <c r="AA6" s="10">
        <f>'계산'!$T$22&amp;""</f>
        <v/>
      </c>
      <c r="AB6" s="10">
        <f>'계산'!$T$23&amp;""</f>
        <v/>
      </c>
      <c r="AC6" s="10">
        <f>'계산'!$T$24&amp;""</f>
        <v/>
      </c>
      <c r="AD6" s="10">
        <f>'계산'!$T$25&amp;""</f>
        <v/>
      </c>
      <c r="AE6" s="10">
        <f>'계산'!$T$26&amp;""</f>
        <v/>
      </c>
      <c r="AF6" s="10">
        <f>'계산'!$T$27&amp;""</f>
        <v/>
      </c>
      <c r="AG6" s="10">
        <f>'계산'!$T$28&amp;""</f>
        <v/>
      </c>
      <c r="AH6" s="10">
        <f>'계산'!$T$29&amp;""</f>
        <v/>
      </c>
      <c r="AI6" s="10">
        <f>'계산'!$T$30&amp;""</f>
        <v/>
      </c>
      <c r="AJ6" s="10">
        <f>'계산'!$T$31&amp;""</f>
        <v/>
      </c>
    </row>
    <row r="7">
      <c r="A7" s="2" t="inlineStr">
        <is>
          <t>품  명</t>
        </is>
      </c>
      <c r="B7" s="2" t="n"/>
      <c r="C7" s="7">
        <f>'계산'!$AN$8</f>
        <v/>
      </c>
      <c r="E7" s="11" t="n">
        <v>1</v>
      </c>
      <c r="F7" s="11" t="n"/>
      <c r="G7" s="12">
        <f>IF(G$6="","",IFERROR(INDEX('계산'!$E$12:$E$761,MATCH("1|1",'계산'!$G$12:$G$761,0)),""))</f>
        <v/>
      </c>
      <c r="H7" s="12">
        <f>IF(H$6="","",IFERROR(INDEX('계산'!$E$12:$E$761,MATCH("2|1",'계산'!$G$12:$G$761,0)),""))</f>
        <v/>
      </c>
      <c r="I7" s="12">
        <f>IF(I$6="","",IFERROR(INDEX('계산'!$E$12:$E$761,MATCH("3|1",'계산'!$G$12:$G$761,0)),""))</f>
        <v/>
      </c>
      <c r="J7" s="12">
        <f>IF(J$6="","",IFERROR(INDEX('계산'!$E$12:$E$761,MATCH("4|1",'계산'!$G$12:$G$761,0)),""))</f>
        <v/>
      </c>
      <c r="K7" s="12">
        <f>IF(K$6="","",IFERROR(INDEX('계산'!$E$12:$E$761,MATCH("5|1",'계산'!$G$12:$G$761,0)),""))</f>
        <v/>
      </c>
      <c r="L7" s="12">
        <f>IF(L$6="","",IFERROR(INDEX('계산'!$E$12:$E$761,MATCH("6|1",'계산'!$G$12:$G$761,0)),""))</f>
        <v/>
      </c>
      <c r="M7" s="12">
        <f>IF(M$6="","",IFERROR(INDEX('계산'!$E$12:$E$761,MATCH("7|1",'계산'!$G$12:$G$761,0)),""))</f>
        <v/>
      </c>
      <c r="N7" s="12">
        <f>IF(N$6="","",IFERROR(INDEX('계산'!$E$12:$E$761,MATCH("8|1",'계산'!$G$12:$G$761,0)),""))</f>
        <v/>
      </c>
      <c r="O7" s="12">
        <f>IF(O$6="","",IFERROR(INDEX('계산'!$E$12:$E$761,MATCH("9|1",'계산'!$G$12:$G$761,0)),""))</f>
        <v/>
      </c>
      <c r="P7" s="12">
        <f>IF(P$6="","",IFERROR(INDEX('계산'!$E$12:$E$761,MATCH("10|1",'계산'!$G$12:$G$761,0)),""))</f>
        <v/>
      </c>
      <c r="Q7" s="12">
        <f>IF(Q$6="","",IFERROR(INDEX('계산'!$E$12:$E$761,MATCH("11|1",'계산'!$G$12:$G$761,0)),""))</f>
        <v/>
      </c>
      <c r="R7" s="12">
        <f>IF(R$6="","",IFERROR(INDEX('계산'!$E$12:$E$761,MATCH("12|1",'계산'!$G$12:$G$761,0)),""))</f>
        <v/>
      </c>
      <c r="S7" s="12">
        <f>IF(S$6="","",IFERROR(INDEX('계산'!$E$12:$E$761,MATCH("13|1",'계산'!$G$12:$G$761,0)),""))</f>
        <v/>
      </c>
      <c r="T7" s="12">
        <f>IF(T$6="","",IFERROR(INDEX('계산'!$E$12:$E$761,MATCH("14|1",'계산'!$G$12:$G$761,0)),""))</f>
        <v/>
      </c>
      <c r="U7" s="12">
        <f>IF(U$6="","",IFERROR(INDEX('계산'!$E$12:$E$761,MATCH("15|1",'계산'!$G$12:$G$761,0)),""))</f>
        <v/>
      </c>
      <c r="V7" s="12">
        <f>IF(V$6="","",IFERROR(INDEX('계산'!$E$12:$E$761,MATCH("16|1",'계산'!$G$12:$G$761,0)),""))</f>
        <v/>
      </c>
      <c r="W7" s="12">
        <f>IF(W$6="","",IFERROR(INDEX('계산'!$E$12:$E$761,MATCH("17|1",'계산'!$G$12:$G$761,0)),""))</f>
        <v/>
      </c>
      <c r="X7" s="12">
        <f>IF(X$6="","",IFERROR(INDEX('계산'!$E$12:$E$761,MATCH("18|1",'계산'!$G$12:$G$761,0)),""))</f>
        <v/>
      </c>
      <c r="Y7" s="12">
        <f>IF(Y$6="","",IFERROR(INDEX('계산'!$E$12:$E$761,MATCH("19|1",'계산'!$G$12:$G$761,0)),""))</f>
        <v/>
      </c>
      <c r="Z7" s="12">
        <f>IF(Z$6="","",IFERROR(INDEX('계산'!$E$12:$E$761,MATCH("20|1",'계산'!$G$12:$G$761,0)),""))</f>
        <v/>
      </c>
      <c r="AA7" s="12">
        <f>IF(AA$6="","",IFERROR(INDEX('계산'!$E$12:$E$761,MATCH("21|1",'계산'!$G$12:$G$761,0)),""))</f>
        <v/>
      </c>
      <c r="AB7" s="12">
        <f>IF(AB$6="","",IFERROR(INDEX('계산'!$E$12:$E$761,MATCH("22|1",'계산'!$G$12:$G$761,0)),""))</f>
        <v/>
      </c>
      <c r="AC7" s="12">
        <f>IF(AC$6="","",IFERROR(INDEX('계산'!$E$12:$E$761,MATCH("23|1",'계산'!$G$12:$G$761,0)),""))</f>
        <v/>
      </c>
      <c r="AD7" s="12">
        <f>IF(AD$6="","",IFERROR(INDEX('계산'!$E$12:$E$761,MATCH("24|1",'계산'!$G$12:$G$761,0)),""))</f>
        <v/>
      </c>
      <c r="AE7" s="12">
        <f>IF(AE$6="","",IFERROR(INDEX('계산'!$E$12:$E$761,MATCH("25|1",'계산'!$G$12:$G$761,0)),""))</f>
        <v/>
      </c>
      <c r="AF7" s="12">
        <f>IF(AF$6="","",IFERROR(INDEX('계산'!$E$12:$E$761,MATCH("26|1",'계산'!$G$12:$G$761,0)),""))</f>
        <v/>
      </c>
      <c r="AG7" s="12">
        <f>IF(AG$6="","",IFERROR(INDEX('계산'!$E$12:$E$761,MATCH("27|1",'계산'!$G$12:$G$761,0)),""))</f>
        <v/>
      </c>
      <c r="AH7" s="12">
        <f>IF(AH$6="","",IFERROR(INDEX('계산'!$E$12:$E$761,MATCH("28|1",'계산'!$G$12:$G$761,0)),""))</f>
        <v/>
      </c>
      <c r="AI7" s="12">
        <f>IF(AI$6="","",IFERROR(INDEX('계산'!$E$12:$E$761,MATCH("29|1",'계산'!$G$12:$G$761,0)),""))</f>
        <v/>
      </c>
      <c r="AJ7" s="12">
        <f>IF(AJ$6="","",IFERROR(INDEX('계산'!$E$12:$E$761,MATCH("30|1",'계산'!$G$12:$G$761,0)),""))</f>
        <v/>
      </c>
    </row>
    <row r="8">
      <c r="A8" s="2" t="n"/>
      <c r="B8" s="2" t="n"/>
      <c r="C8" s="7" t="n"/>
      <c r="E8" s="11" t="n">
        <v>2</v>
      </c>
      <c r="F8" s="11" t="n"/>
      <c r="G8" s="12">
        <f>IF(G$6="","",IFERROR(INDEX('계산'!$E$12:$E$761,MATCH("1|2",'계산'!$G$12:$G$761,0)),""))</f>
        <v/>
      </c>
      <c r="H8" s="12">
        <f>IF(H$6="","",IFERROR(INDEX('계산'!$E$12:$E$761,MATCH("2|2",'계산'!$G$12:$G$761,0)),""))</f>
        <v/>
      </c>
      <c r="I8" s="12">
        <f>IF(I$6="","",IFERROR(INDEX('계산'!$E$12:$E$761,MATCH("3|2",'계산'!$G$12:$G$761,0)),""))</f>
        <v/>
      </c>
      <c r="J8" s="12">
        <f>IF(J$6="","",IFERROR(INDEX('계산'!$E$12:$E$761,MATCH("4|2",'계산'!$G$12:$G$761,0)),""))</f>
        <v/>
      </c>
      <c r="K8" s="12">
        <f>IF(K$6="","",IFERROR(INDEX('계산'!$E$12:$E$761,MATCH("5|2",'계산'!$G$12:$G$761,0)),""))</f>
        <v/>
      </c>
      <c r="L8" s="12">
        <f>IF(L$6="","",IFERROR(INDEX('계산'!$E$12:$E$761,MATCH("6|2",'계산'!$G$12:$G$761,0)),""))</f>
        <v/>
      </c>
      <c r="M8" s="12">
        <f>IF(M$6="","",IFERROR(INDEX('계산'!$E$12:$E$761,MATCH("7|2",'계산'!$G$12:$G$761,0)),""))</f>
        <v/>
      </c>
      <c r="N8" s="12">
        <f>IF(N$6="","",IFERROR(INDEX('계산'!$E$12:$E$761,MATCH("8|2",'계산'!$G$12:$G$761,0)),""))</f>
        <v/>
      </c>
      <c r="O8" s="12">
        <f>IF(O$6="","",IFERROR(INDEX('계산'!$E$12:$E$761,MATCH("9|2",'계산'!$G$12:$G$761,0)),""))</f>
        <v/>
      </c>
      <c r="P8" s="12">
        <f>IF(P$6="","",IFERROR(INDEX('계산'!$E$12:$E$761,MATCH("10|2",'계산'!$G$12:$G$761,0)),""))</f>
        <v/>
      </c>
      <c r="Q8" s="12">
        <f>IF(Q$6="","",IFERROR(INDEX('계산'!$E$12:$E$761,MATCH("11|2",'계산'!$G$12:$G$761,0)),""))</f>
        <v/>
      </c>
      <c r="R8" s="12">
        <f>IF(R$6="","",IFERROR(INDEX('계산'!$E$12:$E$761,MATCH("12|2",'계산'!$G$12:$G$761,0)),""))</f>
        <v/>
      </c>
      <c r="S8" s="12">
        <f>IF(S$6="","",IFERROR(INDEX('계산'!$E$12:$E$761,MATCH("13|2",'계산'!$G$12:$G$761,0)),""))</f>
        <v/>
      </c>
      <c r="T8" s="12">
        <f>IF(T$6="","",IFERROR(INDEX('계산'!$E$12:$E$761,MATCH("14|2",'계산'!$G$12:$G$761,0)),""))</f>
        <v/>
      </c>
      <c r="U8" s="12">
        <f>IF(U$6="","",IFERROR(INDEX('계산'!$E$12:$E$761,MATCH("15|2",'계산'!$G$12:$G$761,0)),""))</f>
        <v/>
      </c>
      <c r="V8" s="12">
        <f>IF(V$6="","",IFERROR(INDEX('계산'!$E$12:$E$761,MATCH("16|2",'계산'!$G$12:$G$761,0)),""))</f>
        <v/>
      </c>
      <c r="W8" s="12">
        <f>IF(W$6="","",IFERROR(INDEX('계산'!$E$12:$E$761,MATCH("17|2",'계산'!$G$12:$G$761,0)),""))</f>
        <v/>
      </c>
      <c r="X8" s="12">
        <f>IF(X$6="","",IFERROR(INDEX('계산'!$E$12:$E$761,MATCH("18|2",'계산'!$G$12:$G$761,0)),""))</f>
        <v/>
      </c>
      <c r="Y8" s="12">
        <f>IF(Y$6="","",IFERROR(INDEX('계산'!$E$12:$E$761,MATCH("19|2",'계산'!$G$12:$G$761,0)),""))</f>
        <v/>
      </c>
      <c r="Z8" s="12">
        <f>IF(Z$6="","",IFERROR(INDEX('계산'!$E$12:$E$761,MATCH("20|2",'계산'!$G$12:$G$761,0)),""))</f>
        <v/>
      </c>
      <c r="AA8" s="12">
        <f>IF(AA$6="","",IFERROR(INDEX('계산'!$E$12:$E$761,MATCH("21|2",'계산'!$G$12:$G$761,0)),""))</f>
        <v/>
      </c>
      <c r="AB8" s="12">
        <f>IF(AB$6="","",IFERROR(INDEX('계산'!$E$12:$E$761,MATCH("22|2",'계산'!$G$12:$G$761,0)),""))</f>
        <v/>
      </c>
      <c r="AC8" s="12">
        <f>IF(AC$6="","",IFERROR(INDEX('계산'!$E$12:$E$761,MATCH("23|2",'계산'!$G$12:$G$761,0)),""))</f>
        <v/>
      </c>
      <c r="AD8" s="12">
        <f>IF(AD$6="","",IFERROR(INDEX('계산'!$E$12:$E$761,MATCH("24|2",'계산'!$G$12:$G$761,0)),""))</f>
        <v/>
      </c>
      <c r="AE8" s="12">
        <f>IF(AE$6="","",IFERROR(INDEX('계산'!$E$12:$E$761,MATCH("25|2",'계산'!$G$12:$G$761,0)),""))</f>
        <v/>
      </c>
      <c r="AF8" s="12">
        <f>IF(AF$6="","",IFERROR(INDEX('계산'!$E$12:$E$761,MATCH("26|2",'계산'!$G$12:$G$761,0)),""))</f>
        <v/>
      </c>
      <c r="AG8" s="12">
        <f>IF(AG$6="","",IFERROR(INDEX('계산'!$E$12:$E$761,MATCH("27|2",'계산'!$G$12:$G$761,0)),""))</f>
        <v/>
      </c>
      <c r="AH8" s="12">
        <f>IF(AH$6="","",IFERROR(INDEX('계산'!$E$12:$E$761,MATCH("28|2",'계산'!$G$12:$G$761,0)),""))</f>
        <v/>
      </c>
      <c r="AI8" s="12">
        <f>IF(AI$6="","",IFERROR(INDEX('계산'!$E$12:$E$761,MATCH("29|2",'계산'!$G$12:$G$761,0)),""))</f>
        <v/>
      </c>
      <c r="AJ8" s="12">
        <f>IF(AJ$6="","",IFERROR(INDEX('계산'!$E$12:$E$761,MATCH("30|2",'계산'!$G$12:$G$761,0)),""))</f>
        <v/>
      </c>
    </row>
    <row r="9">
      <c r="A9" s="2" t="inlineStr">
        <is>
          <t>조  성</t>
        </is>
      </c>
      <c r="B9" s="2" t="n"/>
      <c r="C9" s="7">
        <f>'계산'!$AN$5</f>
        <v/>
      </c>
      <c r="E9" s="11" t="n">
        <v>3</v>
      </c>
      <c r="F9" s="11" t="n"/>
      <c r="G9" s="12">
        <f>IF(G$6="","",IFERROR(INDEX('계산'!$E$12:$E$761,MATCH("1|3",'계산'!$G$12:$G$761,0)),""))</f>
        <v/>
      </c>
      <c r="H9" s="12">
        <f>IF(H$6="","",IFERROR(INDEX('계산'!$E$12:$E$761,MATCH("2|3",'계산'!$G$12:$G$761,0)),""))</f>
        <v/>
      </c>
      <c r="I9" s="12">
        <f>IF(I$6="","",IFERROR(INDEX('계산'!$E$12:$E$761,MATCH("3|3",'계산'!$G$12:$G$761,0)),""))</f>
        <v/>
      </c>
      <c r="J9" s="12">
        <f>IF(J$6="","",IFERROR(INDEX('계산'!$E$12:$E$761,MATCH("4|3",'계산'!$G$12:$G$761,0)),""))</f>
        <v/>
      </c>
      <c r="K9" s="12">
        <f>IF(K$6="","",IFERROR(INDEX('계산'!$E$12:$E$761,MATCH("5|3",'계산'!$G$12:$G$761,0)),""))</f>
        <v/>
      </c>
      <c r="L9" s="12">
        <f>IF(L$6="","",IFERROR(INDEX('계산'!$E$12:$E$761,MATCH("6|3",'계산'!$G$12:$G$761,0)),""))</f>
        <v/>
      </c>
      <c r="M9" s="12">
        <f>IF(M$6="","",IFERROR(INDEX('계산'!$E$12:$E$761,MATCH("7|3",'계산'!$G$12:$G$761,0)),""))</f>
        <v/>
      </c>
      <c r="N9" s="12">
        <f>IF(N$6="","",IFERROR(INDEX('계산'!$E$12:$E$761,MATCH("8|3",'계산'!$G$12:$G$761,0)),""))</f>
        <v/>
      </c>
      <c r="O9" s="12">
        <f>IF(O$6="","",IFERROR(INDEX('계산'!$E$12:$E$761,MATCH("9|3",'계산'!$G$12:$G$761,0)),""))</f>
        <v/>
      </c>
      <c r="P9" s="12">
        <f>IF(P$6="","",IFERROR(INDEX('계산'!$E$12:$E$761,MATCH("10|3",'계산'!$G$12:$G$761,0)),""))</f>
        <v/>
      </c>
      <c r="Q9" s="12">
        <f>IF(Q$6="","",IFERROR(INDEX('계산'!$E$12:$E$761,MATCH("11|3",'계산'!$G$12:$G$761,0)),""))</f>
        <v/>
      </c>
      <c r="R9" s="12">
        <f>IF(R$6="","",IFERROR(INDEX('계산'!$E$12:$E$761,MATCH("12|3",'계산'!$G$12:$G$761,0)),""))</f>
        <v/>
      </c>
      <c r="S9" s="12">
        <f>IF(S$6="","",IFERROR(INDEX('계산'!$E$12:$E$761,MATCH("13|3",'계산'!$G$12:$G$761,0)),""))</f>
        <v/>
      </c>
      <c r="T9" s="12">
        <f>IF(T$6="","",IFERROR(INDEX('계산'!$E$12:$E$761,MATCH("14|3",'계산'!$G$12:$G$761,0)),""))</f>
        <v/>
      </c>
      <c r="U9" s="12">
        <f>IF(U$6="","",IFERROR(INDEX('계산'!$E$12:$E$761,MATCH("15|3",'계산'!$G$12:$G$761,0)),""))</f>
        <v/>
      </c>
      <c r="V9" s="12">
        <f>IF(V$6="","",IFERROR(INDEX('계산'!$E$12:$E$761,MATCH("16|3",'계산'!$G$12:$G$761,0)),""))</f>
        <v/>
      </c>
      <c r="W9" s="12">
        <f>IF(W$6="","",IFERROR(INDEX('계산'!$E$12:$E$761,MATCH("17|3",'계산'!$G$12:$G$761,0)),""))</f>
        <v/>
      </c>
      <c r="X9" s="12">
        <f>IF(X$6="","",IFERROR(INDEX('계산'!$E$12:$E$761,MATCH("18|3",'계산'!$G$12:$G$761,0)),""))</f>
        <v/>
      </c>
      <c r="Y9" s="12">
        <f>IF(Y$6="","",IFERROR(INDEX('계산'!$E$12:$E$761,MATCH("19|3",'계산'!$G$12:$G$761,0)),""))</f>
        <v/>
      </c>
      <c r="Z9" s="12">
        <f>IF(Z$6="","",IFERROR(INDEX('계산'!$E$12:$E$761,MATCH("20|3",'계산'!$G$12:$G$761,0)),""))</f>
        <v/>
      </c>
      <c r="AA9" s="12">
        <f>IF(AA$6="","",IFERROR(INDEX('계산'!$E$12:$E$761,MATCH("21|3",'계산'!$G$12:$G$761,0)),""))</f>
        <v/>
      </c>
      <c r="AB9" s="12">
        <f>IF(AB$6="","",IFERROR(INDEX('계산'!$E$12:$E$761,MATCH("22|3",'계산'!$G$12:$G$761,0)),""))</f>
        <v/>
      </c>
      <c r="AC9" s="12">
        <f>IF(AC$6="","",IFERROR(INDEX('계산'!$E$12:$E$761,MATCH("23|3",'계산'!$G$12:$G$761,0)),""))</f>
        <v/>
      </c>
      <c r="AD9" s="12">
        <f>IF(AD$6="","",IFERROR(INDEX('계산'!$E$12:$E$761,MATCH("24|3",'계산'!$G$12:$G$761,0)),""))</f>
        <v/>
      </c>
      <c r="AE9" s="12">
        <f>IF(AE$6="","",IFERROR(INDEX('계산'!$E$12:$E$761,MATCH("25|3",'계산'!$G$12:$G$761,0)),""))</f>
        <v/>
      </c>
      <c r="AF9" s="12">
        <f>IF(AF$6="","",IFERROR(INDEX('계산'!$E$12:$E$761,MATCH("26|3",'계산'!$G$12:$G$761,0)),""))</f>
        <v/>
      </c>
      <c r="AG9" s="12">
        <f>IF(AG$6="","",IFERROR(INDEX('계산'!$E$12:$E$761,MATCH("27|3",'계산'!$G$12:$G$761,0)),""))</f>
        <v/>
      </c>
      <c r="AH9" s="12">
        <f>IF(AH$6="","",IFERROR(INDEX('계산'!$E$12:$E$761,MATCH("28|3",'계산'!$G$12:$G$761,0)),""))</f>
        <v/>
      </c>
      <c r="AI9" s="12">
        <f>IF(AI$6="","",IFERROR(INDEX('계산'!$E$12:$E$761,MATCH("29|3",'계산'!$G$12:$G$761,0)),""))</f>
        <v/>
      </c>
      <c r="AJ9" s="12">
        <f>IF(AJ$6="","",IFERROR(INDEX('계산'!$E$12:$E$761,MATCH("30|3",'계산'!$G$12:$G$761,0)),""))</f>
        <v/>
      </c>
    </row>
    <row r="10">
      <c r="A10" s="2" t="n"/>
      <c r="B10" s="2" t="n"/>
      <c r="C10" s="7" t="n"/>
      <c r="E10" s="11" t="n">
        <v>4</v>
      </c>
      <c r="F10" s="11" t="n"/>
      <c r="G10" s="12">
        <f>IF(G$6="","",IFERROR(INDEX('계산'!$E$12:$E$761,MATCH("1|4",'계산'!$G$12:$G$761,0)),""))</f>
        <v/>
      </c>
      <c r="H10" s="12">
        <f>IF(H$6="","",IFERROR(INDEX('계산'!$E$12:$E$761,MATCH("2|4",'계산'!$G$12:$G$761,0)),""))</f>
        <v/>
      </c>
      <c r="I10" s="12">
        <f>IF(I$6="","",IFERROR(INDEX('계산'!$E$12:$E$761,MATCH("3|4",'계산'!$G$12:$G$761,0)),""))</f>
        <v/>
      </c>
      <c r="J10" s="12">
        <f>IF(J$6="","",IFERROR(INDEX('계산'!$E$12:$E$761,MATCH("4|4",'계산'!$G$12:$G$761,0)),""))</f>
        <v/>
      </c>
      <c r="K10" s="12">
        <f>IF(K$6="","",IFERROR(INDEX('계산'!$E$12:$E$761,MATCH("5|4",'계산'!$G$12:$G$761,0)),""))</f>
        <v/>
      </c>
      <c r="L10" s="12">
        <f>IF(L$6="","",IFERROR(INDEX('계산'!$E$12:$E$761,MATCH("6|4",'계산'!$G$12:$G$761,0)),""))</f>
        <v/>
      </c>
      <c r="M10" s="12">
        <f>IF(M$6="","",IFERROR(INDEX('계산'!$E$12:$E$761,MATCH("7|4",'계산'!$G$12:$G$761,0)),""))</f>
        <v/>
      </c>
      <c r="N10" s="12">
        <f>IF(N$6="","",IFERROR(INDEX('계산'!$E$12:$E$761,MATCH("8|4",'계산'!$G$12:$G$761,0)),""))</f>
        <v/>
      </c>
      <c r="O10" s="12">
        <f>IF(O$6="","",IFERROR(INDEX('계산'!$E$12:$E$761,MATCH("9|4",'계산'!$G$12:$G$761,0)),""))</f>
        <v/>
      </c>
      <c r="P10" s="12">
        <f>IF(P$6="","",IFERROR(INDEX('계산'!$E$12:$E$761,MATCH("10|4",'계산'!$G$12:$G$761,0)),""))</f>
        <v/>
      </c>
      <c r="Q10" s="12">
        <f>IF(Q$6="","",IFERROR(INDEX('계산'!$E$12:$E$761,MATCH("11|4",'계산'!$G$12:$G$761,0)),""))</f>
        <v/>
      </c>
      <c r="R10" s="12">
        <f>IF(R$6="","",IFERROR(INDEX('계산'!$E$12:$E$761,MATCH("12|4",'계산'!$G$12:$G$761,0)),""))</f>
        <v/>
      </c>
      <c r="S10" s="12">
        <f>IF(S$6="","",IFERROR(INDEX('계산'!$E$12:$E$761,MATCH("13|4",'계산'!$G$12:$G$761,0)),""))</f>
        <v/>
      </c>
      <c r="T10" s="12">
        <f>IF(T$6="","",IFERROR(INDEX('계산'!$E$12:$E$761,MATCH("14|4",'계산'!$G$12:$G$761,0)),""))</f>
        <v/>
      </c>
      <c r="U10" s="12">
        <f>IF(U$6="","",IFERROR(INDEX('계산'!$E$12:$E$761,MATCH("15|4",'계산'!$G$12:$G$761,0)),""))</f>
        <v/>
      </c>
      <c r="V10" s="12">
        <f>IF(V$6="","",IFERROR(INDEX('계산'!$E$12:$E$761,MATCH("16|4",'계산'!$G$12:$G$761,0)),""))</f>
        <v/>
      </c>
      <c r="W10" s="12">
        <f>IF(W$6="","",IFERROR(INDEX('계산'!$E$12:$E$761,MATCH("17|4",'계산'!$G$12:$G$761,0)),""))</f>
        <v/>
      </c>
      <c r="X10" s="12">
        <f>IF(X$6="","",IFERROR(INDEX('계산'!$E$12:$E$761,MATCH("18|4",'계산'!$G$12:$G$761,0)),""))</f>
        <v/>
      </c>
      <c r="Y10" s="12">
        <f>IF(Y$6="","",IFERROR(INDEX('계산'!$E$12:$E$761,MATCH("19|4",'계산'!$G$12:$G$761,0)),""))</f>
        <v/>
      </c>
      <c r="Z10" s="12">
        <f>IF(Z$6="","",IFERROR(INDEX('계산'!$E$12:$E$761,MATCH("20|4",'계산'!$G$12:$G$761,0)),""))</f>
        <v/>
      </c>
      <c r="AA10" s="12">
        <f>IF(AA$6="","",IFERROR(INDEX('계산'!$E$12:$E$761,MATCH("21|4",'계산'!$G$12:$G$761,0)),""))</f>
        <v/>
      </c>
      <c r="AB10" s="12">
        <f>IF(AB$6="","",IFERROR(INDEX('계산'!$E$12:$E$761,MATCH("22|4",'계산'!$G$12:$G$761,0)),""))</f>
        <v/>
      </c>
      <c r="AC10" s="12">
        <f>IF(AC$6="","",IFERROR(INDEX('계산'!$E$12:$E$761,MATCH("23|4",'계산'!$G$12:$G$761,0)),""))</f>
        <v/>
      </c>
      <c r="AD10" s="12">
        <f>IF(AD$6="","",IFERROR(INDEX('계산'!$E$12:$E$761,MATCH("24|4",'계산'!$G$12:$G$761,0)),""))</f>
        <v/>
      </c>
      <c r="AE10" s="12">
        <f>IF(AE$6="","",IFERROR(INDEX('계산'!$E$12:$E$761,MATCH("25|4",'계산'!$G$12:$G$761,0)),""))</f>
        <v/>
      </c>
      <c r="AF10" s="12">
        <f>IF(AF$6="","",IFERROR(INDEX('계산'!$E$12:$E$761,MATCH("26|4",'계산'!$G$12:$G$761,0)),""))</f>
        <v/>
      </c>
      <c r="AG10" s="12">
        <f>IF(AG$6="","",IFERROR(INDEX('계산'!$E$12:$E$761,MATCH("27|4",'계산'!$G$12:$G$761,0)),""))</f>
        <v/>
      </c>
      <c r="AH10" s="12">
        <f>IF(AH$6="","",IFERROR(INDEX('계산'!$E$12:$E$761,MATCH("28|4",'계산'!$G$12:$G$761,0)),""))</f>
        <v/>
      </c>
      <c r="AI10" s="12">
        <f>IF(AI$6="","",IFERROR(INDEX('계산'!$E$12:$E$761,MATCH("29|4",'계산'!$G$12:$G$761,0)),""))</f>
        <v/>
      </c>
      <c r="AJ10" s="12">
        <f>IF(AJ$6="","",IFERROR(INDEX('계산'!$E$12:$E$761,MATCH("30|4",'계산'!$G$12:$G$761,0)),""))</f>
        <v/>
      </c>
    </row>
    <row r="11">
      <c r="A11" s="2" t="inlineStr">
        <is>
          <t>품번 customer</t>
        </is>
      </c>
      <c r="B11" s="2" t="n"/>
      <c r="C11" s="7" t="inlineStr">
        <is>
          <t>-</t>
        </is>
      </c>
      <c r="E11" s="11" t="n">
        <v>5</v>
      </c>
      <c r="F11" s="11" t="n"/>
      <c r="G11" s="12">
        <f>IF(G$6="","",IFERROR(INDEX('계산'!$E$12:$E$761,MATCH("1|5",'계산'!$G$12:$G$761,0)),""))</f>
        <v/>
      </c>
      <c r="H11" s="12">
        <f>IF(H$6="","",IFERROR(INDEX('계산'!$E$12:$E$761,MATCH("2|5",'계산'!$G$12:$G$761,0)),""))</f>
        <v/>
      </c>
      <c r="I11" s="12">
        <f>IF(I$6="","",IFERROR(INDEX('계산'!$E$12:$E$761,MATCH("3|5",'계산'!$G$12:$G$761,0)),""))</f>
        <v/>
      </c>
      <c r="J11" s="12">
        <f>IF(J$6="","",IFERROR(INDEX('계산'!$E$12:$E$761,MATCH("4|5",'계산'!$G$12:$G$761,0)),""))</f>
        <v/>
      </c>
      <c r="K11" s="12">
        <f>IF(K$6="","",IFERROR(INDEX('계산'!$E$12:$E$761,MATCH("5|5",'계산'!$G$12:$G$761,0)),""))</f>
        <v/>
      </c>
      <c r="L11" s="12">
        <f>IF(L$6="","",IFERROR(INDEX('계산'!$E$12:$E$761,MATCH("6|5",'계산'!$G$12:$G$761,0)),""))</f>
        <v/>
      </c>
      <c r="M11" s="12">
        <f>IF(M$6="","",IFERROR(INDEX('계산'!$E$12:$E$761,MATCH("7|5",'계산'!$G$12:$G$761,0)),""))</f>
        <v/>
      </c>
      <c r="N11" s="12">
        <f>IF(N$6="","",IFERROR(INDEX('계산'!$E$12:$E$761,MATCH("8|5",'계산'!$G$12:$G$761,0)),""))</f>
        <v/>
      </c>
      <c r="O11" s="12">
        <f>IF(O$6="","",IFERROR(INDEX('계산'!$E$12:$E$761,MATCH("9|5",'계산'!$G$12:$G$761,0)),""))</f>
        <v/>
      </c>
      <c r="P11" s="12">
        <f>IF(P$6="","",IFERROR(INDEX('계산'!$E$12:$E$761,MATCH("10|5",'계산'!$G$12:$G$761,0)),""))</f>
        <v/>
      </c>
      <c r="Q11" s="12">
        <f>IF(Q$6="","",IFERROR(INDEX('계산'!$E$12:$E$761,MATCH("11|5",'계산'!$G$12:$G$761,0)),""))</f>
        <v/>
      </c>
      <c r="R11" s="12">
        <f>IF(R$6="","",IFERROR(INDEX('계산'!$E$12:$E$761,MATCH("12|5",'계산'!$G$12:$G$761,0)),""))</f>
        <v/>
      </c>
      <c r="S11" s="12">
        <f>IF(S$6="","",IFERROR(INDEX('계산'!$E$12:$E$761,MATCH("13|5",'계산'!$G$12:$G$761,0)),""))</f>
        <v/>
      </c>
      <c r="T11" s="12">
        <f>IF(T$6="","",IFERROR(INDEX('계산'!$E$12:$E$761,MATCH("14|5",'계산'!$G$12:$G$761,0)),""))</f>
        <v/>
      </c>
      <c r="U11" s="12">
        <f>IF(U$6="","",IFERROR(INDEX('계산'!$E$12:$E$761,MATCH("15|5",'계산'!$G$12:$G$761,0)),""))</f>
        <v/>
      </c>
      <c r="V11" s="12">
        <f>IF(V$6="","",IFERROR(INDEX('계산'!$E$12:$E$761,MATCH("16|5",'계산'!$G$12:$G$761,0)),""))</f>
        <v/>
      </c>
      <c r="W11" s="12">
        <f>IF(W$6="","",IFERROR(INDEX('계산'!$E$12:$E$761,MATCH("17|5",'계산'!$G$12:$G$761,0)),""))</f>
        <v/>
      </c>
      <c r="X11" s="12">
        <f>IF(X$6="","",IFERROR(INDEX('계산'!$E$12:$E$761,MATCH("18|5",'계산'!$G$12:$G$761,0)),""))</f>
        <v/>
      </c>
      <c r="Y11" s="12">
        <f>IF(Y$6="","",IFERROR(INDEX('계산'!$E$12:$E$761,MATCH("19|5",'계산'!$G$12:$G$761,0)),""))</f>
        <v/>
      </c>
      <c r="Z11" s="12">
        <f>IF(Z$6="","",IFERROR(INDEX('계산'!$E$12:$E$761,MATCH("20|5",'계산'!$G$12:$G$761,0)),""))</f>
        <v/>
      </c>
      <c r="AA11" s="12">
        <f>IF(AA$6="","",IFERROR(INDEX('계산'!$E$12:$E$761,MATCH("21|5",'계산'!$G$12:$G$761,0)),""))</f>
        <v/>
      </c>
      <c r="AB11" s="12">
        <f>IF(AB$6="","",IFERROR(INDEX('계산'!$E$12:$E$761,MATCH("22|5",'계산'!$G$12:$G$761,0)),""))</f>
        <v/>
      </c>
      <c r="AC11" s="12">
        <f>IF(AC$6="","",IFERROR(INDEX('계산'!$E$12:$E$761,MATCH("23|5",'계산'!$G$12:$G$761,0)),""))</f>
        <v/>
      </c>
      <c r="AD11" s="12">
        <f>IF(AD$6="","",IFERROR(INDEX('계산'!$E$12:$E$761,MATCH("24|5",'계산'!$G$12:$G$761,0)),""))</f>
        <v/>
      </c>
      <c r="AE11" s="12">
        <f>IF(AE$6="","",IFERROR(INDEX('계산'!$E$12:$E$761,MATCH("25|5",'계산'!$G$12:$G$761,0)),""))</f>
        <v/>
      </c>
      <c r="AF11" s="12">
        <f>IF(AF$6="","",IFERROR(INDEX('계산'!$E$12:$E$761,MATCH("26|5",'계산'!$G$12:$G$761,0)),""))</f>
        <v/>
      </c>
      <c r="AG11" s="12">
        <f>IF(AG$6="","",IFERROR(INDEX('계산'!$E$12:$E$761,MATCH("27|5",'계산'!$G$12:$G$761,0)),""))</f>
        <v/>
      </c>
      <c r="AH11" s="12">
        <f>IF(AH$6="","",IFERROR(INDEX('계산'!$E$12:$E$761,MATCH("28|5",'계산'!$G$12:$G$761,0)),""))</f>
        <v/>
      </c>
      <c r="AI11" s="12">
        <f>IF(AI$6="","",IFERROR(INDEX('계산'!$E$12:$E$761,MATCH("29|5",'계산'!$G$12:$G$761,0)),""))</f>
        <v/>
      </c>
      <c r="AJ11" s="12">
        <f>IF(AJ$6="","",IFERROR(INDEX('계산'!$E$12:$E$761,MATCH("30|5",'계산'!$G$12:$G$761,0)),""))</f>
        <v/>
      </c>
    </row>
    <row r="12">
      <c r="A12" s="2" t="n"/>
      <c r="B12" s="2" t="n"/>
      <c r="C12" s="7" t="n"/>
      <c r="E12" s="11" t="n">
        <v>6</v>
      </c>
      <c r="F12" s="11" t="n"/>
      <c r="G12" s="12">
        <f>IF(G$6="","",IFERROR(INDEX('계산'!$E$12:$E$761,MATCH("1|6",'계산'!$G$12:$G$761,0)),""))</f>
        <v/>
      </c>
      <c r="H12" s="12">
        <f>IF(H$6="","",IFERROR(INDEX('계산'!$E$12:$E$761,MATCH("2|6",'계산'!$G$12:$G$761,0)),""))</f>
        <v/>
      </c>
      <c r="I12" s="12">
        <f>IF(I$6="","",IFERROR(INDEX('계산'!$E$12:$E$761,MATCH("3|6",'계산'!$G$12:$G$761,0)),""))</f>
        <v/>
      </c>
      <c r="J12" s="12">
        <f>IF(J$6="","",IFERROR(INDEX('계산'!$E$12:$E$761,MATCH("4|6",'계산'!$G$12:$G$761,0)),""))</f>
        <v/>
      </c>
      <c r="K12" s="12">
        <f>IF(K$6="","",IFERROR(INDEX('계산'!$E$12:$E$761,MATCH("5|6",'계산'!$G$12:$G$761,0)),""))</f>
        <v/>
      </c>
      <c r="L12" s="12">
        <f>IF(L$6="","",IFERROR(INDEX('계산'!$E$12:$E$761,MATCH("6|6",'계산'!$G$12:$G$761,0)),""))</f>
        <v/>
      </c>
      <c r="M12" s="12">
        <f>IF(M$6="","",IFERROR(INDEX('계산'!$E$12:$E$761,MATCH("7|6",'계산'!$G$12:$G$761,0)),""))</f>
        <v/>
      </c>
      <c r="N12" s="12">
        <f>IF(N$6="","",IFERROR(INDEX('계산'!$E$12:$E$761,MATCH("8|6",'계산'!$G$12:$G$761,0)),""))</f>
        <v/>
      </c>
      <c r="O12" s="12">
        <f>IF(O$6="","",IFERROR(INDEX('계산'!$E$12:$E$761,MATCH("9|6",'계산'!$G$12:$G$761,0)),""))</f>
        <v/>
      </c>
      <c r="P12" s="12">
        <f>IF(P$6="","",IFERROR(INDEX('계산'!$E$12:$E$761,MATCH("10|6",'계산'!$G$12:$G$761,0)),""))</f>
        <v/>
      </c>
      <c r="Q12" s="12">
        <f>IF(Q$6="","",IFERROR(INDEX('계산'!$E$12:$E$761,MATCH("11|6",'계산'!$G$12:$G$761,0)),""))</f>
        <v/>
      </c>
      <c r="R12" s="12">
        <f>IF(R$6="","",IFERROR(INDEX('계산'!$E$12:$E$761,MATCH("12|6",'계산'!$G$12:$G$761,0)),""))</f>
        <v/>
      </c>
      <c r="S12" s="12">
        <f>IF(S$6="","",IFERROR(INDEX('계산'!$E$12:$E$761,MATCH("13|6",'계산'!$G$12:$G$761,0)),""))</f>
        <v/>
      </c>
      <c r="T12" s="12">
        <f>IF(T$6="","",IFERROR(INDEX('계산'!$E$12:$E$761,MATCH("14|6",'계산'!$G$12:$G$761,0)),""))</f>
        <v/>
      </c>
      <c r="U12" s="12">
        <f>IF(U$6="","",IFERROR(INDEX('계산'!$E$12:$E$761,MATCH("15|6",'계산'!$G$12:$G$761,0)),""))</f>
        <v/>
      </c>
      <c r="V12" s="12">
        <f>IF(V$6="","",IFERROR(INDEX('계산'!$E$12:$E$761,MATCH("16|6",'계산'!$G$12:$G$761,0)),""))</f>
        <v/>
      </c>
      <c r="W12" s="12">
        <f>IF(W$6="","",IFERROR(INDEX('계산'!$E$12:$E$761,MATCH("17|6",'계산'!$G$12:$G$761,0)),""))</f>
        <v/>
      </c>
      <c r="X12" s="12">
        <f>IF(X$6="","",IFERROR(INDEX('계산'!$E$12:$E$761,MATCH("18|6",'계산'!$G$12:$G$761,0)),""))</f>
        <v/>
      </c>
      <c r="Y12" s="12">
        <f>IF(Y$6="","",IFERROR(INDEX('계산'!$E$12:$E$761,MATCH("19|6",'계산'!$G$12:$G$761,0)),""))</f>
        <v/>
      </c>
      <c r="Z12" s="12">
        <f>IF(Z$6="","",IFERROR(INDEX('계산'!$E$12:$E$761,MATCH("20|6",'계산'!$G$12:$G$761,0)),""))</f>
        <v/>
      </c>
      <c r="AA12" s="12">
        <f>IF(AA$6="","",IFERROR(INDEX('계산'!$E$12:$E$761,MATCH("21|6",'계산'!$G$12:$G$761,0)),""))</f>
        <v/>
      </c>
      <c r="AB12" s="12">
        <f>IF(AB$6="","",IFERROR(INDEX('계산'!$E$12:$E$761,MATCH("22|6",'계산'!$G$12:$G$761,0)),""))</f>
        <v/>
      </c>
      <c r="AC12" s="12">
        <f>IF(AC$6="","",IFERROR(INDEX('계산'!$E$12:$E$761,MATCH("23|6",'계산'!$G$12:$G$761,0)),""))</f>
        <v/>
      </c>
      <c r="AD12" s="12">
        <f>IF(AD$6="","",IFERROR(INDEX('계산'!$E$12:$E$761,MATCH("24|6",'계산'!$G$12:$G$761,0)),""))</f>
        <v/>
      </c>
      <c r="AE12" s="12">
        <f>IF(AE$6="","",IFERROR(INDEX('계산'!$E$12:$E$761,MATCH("25|6",'계산'!$G$12:$G$761,0)),""))</f>
        <v/>
      </c>
      <c r="AF12" s="12">
        <f>IF(AF$6="","",IFERROR(INDEX('계산'!$E$12:$E$761,MATCH("26|6",'계산'!$G$12:$G$761,0)),""))</f>
        <v/>
      </c>
      <c r="AG12" s="12">
        <f>IF(AG$6="","",IFERROR(INDEX('계산'!$E$12:$E$761,MATCH("27|6",'계산'!$G$12:$G$761,0)),""))</f>
        <v/>
      </c>
      <c r="AH12" s="12">
        <f>IF(AH$6="","",IFERROR(INDEX('계산'!$E$12:$E$761,MATCH("28|6",'계산'!$G$12:$G$761,0)),""))</f>
        <v/>
      </c>
      <c r="AI12" s="12">
        <f>IF(AI$6="","",IFERROR(INDEX('계산'!$E$12:$E$761,MATCH("29|6",'계산'!$G$12:$G$761,0)),""))</f>
        <v/>
      </c>
      <c r="AJ12" s="12">
        <f>IF(AJ$6="","",IFERROR(INDEX('계산'!$E$12:$E$761,MATCH("30|6",'계산'!$G$12:$G$761,0)),""))</f>
        <v/>
      </c>
    </row>
    <row r="13">
      <c r="A13" s="2" t="inlineStr">
        <is>
          <t>품번 Amphenol</t>
        </is>
      </c>
      <c r="B13" s="2" t="n"/>
      <c r="C13" s="7" t="inlineStr">
        <is>
          <t>-</t>
        </is>
      </c>
      <c r="E13" s="11" t="n">
        <v>7</v>
      </c>
      <c r="F13" s="11" t="n"/>
      <c r="G13" s="12">
        <f>IF(G$6="","",IFERROR(INDEX('계산'!$E$12:$E$761,MATCH("1|7",'계산'!$G$12:$G$761,0)),""))</f>
        <v/>
      </c>
      <c r="H13" s="12">
        <f>IF(H$6="","",IFERROR(INDEX('계산'!$E$12:$E$761,MATCH("2|7",'계산'!$G$12:$G$761,0)),""))</f>
        <v/>
      </c>
      <c r="I13" s="12">
        <f>IF(I$6="","",IFERROR(INDEX('계산'!$E$12:$E$761,MATCH("3|7",'계산'!$G$12:$G$761,0)),""))</f>
        <v/>
      </c>
      <c r="J13" s="12">
        <f>IF(J$6="","",IFERROR(INDEX('계산'!$E$12:$E$761,MATCH("4|7",'계산'!$G$12:$G$761,0)),""))</f>
        <v/>
      </c>
      <c r="K13" s="12">
        <f>IF(K$6="","",IFERROR(INDEX('계산'!$E$12:$E$761,MATCH("5|7",'계산'!$G$12:$G$761,0)),""))</f>
        <v/>
      </c>
      <c r="L13" s="12">
        <f>IF(L$6="","",IFERROR(INDEX('계산'!$E$12:$E$761,MATCH("6|7",'계산'!$G$12:$G$761,0)),""))</f>
        <v/>
      </c>
      <c r="M13" s="12">
        <f>IF(M$6="","",IFERROR(INDEX('계산'!$E$12:$E$761,MATCH("7|7",'계산'!$G$12:$G$761,0)),""))</f>
        <v/>
      </c>
      <c r="N13" s="12">
        <f>IF(N$6="","",IFERROR(INDEX('계산'!$E$12:$E$761,MATCH("8|7",'계산'!$G$12:$G$761,0)),""))</f>
        <v/>
      </c>
      <c r="O13" s="12">
        <f>IF(O$6="","",IFERROR(INDEX('계산'!$E$12:$E$761,MATCH("9|7",'계산'!$G$12:$G$761,0)),""))</f>
        <v/>
      </c>
      <c r="P13" s="12">
        <f>IF(P$6="","",IFERROR(INDEX('계산'!$E$12:$E$761,MATCH("10|7",'계산'!$G$12:$G$761,0)),""))</f>
        <v/>
      </c>
      <c r="Q13" s="12">
        <f>IF(Q$6="","",IFERROR(INDEX('계산'!$E$12:$E$761,MATCH("11|7",'계산'!$G$12:$G$761,0)),""))</f>
        <v/>
      </c>
      <c r="R13" s="12">
        <f>IF(R$6="","",IFERROR(INDEX('계산'!$E$12:$E$761,MATCH("12|7",'계산'!$G$12:$G$761,0)),""))</f>
        <v/>
      </c>
      <c r="S13" s="12">
        <f>IF(S$6="","",IFERROR(INDEX('계산'!$E$12:$E$761,MATCH("13|7",'계산'!$G$12:$G$761,0)),""))</f>
        <v/>
      </c>
      <c r="T13" s="12">
        <f>IF(T$6="","",IFERROR(INDEX('계산'!$E$12:$E$761,MATCH("14|7",'계산'!$G$12:$G$761,0)),""))</f>
        <v/>
      </c>
      <c r="U13" s="12">
        <f>IF(U$6="","",IFERROR(INDEX('계산'!$E$12:$E$761,MATCH("15|7",'계산'!$G$12:$G$761,0)),""))</f>
        <v/>
      </c>
      <c r="V13" s="12">
        <f>IF(V$6="","",IFERROR(INDEX('계산'!$E$12:$E$761,MATCH("16|7",'계산'!$G$12:$G$761,0)),""))</f>
        <v/>
      </c>
      <c r="W13" s="12">
        <f>IF(W$6="","",IFERROR(INDEX('계산'!$E$12:$E$761,MATCH("17|7",'계산'!$G$12:$G$761,0)),""))</f>
        <v/>
      </c>
      <c r="X13" s="12">
        <f>IF(X$6="","",IFERROR(INDEX('계산'!$E$12:$E$761,MATCH("18|7",'계산'!$G$12:$G$761,0)),""))</f>
        <v/>
      </c>
      <c r="Y13" s="12">
        <f>IF(Y$6="","",IFERROR(INDEX('계산'!$E$12:$E$761,MATCH("19|7",'계산'!$G$12:$G$761,0)),""))</f>
        <v/>
      </c>
      <c r="Z13" s="12">
        <f>IF(Z$6="","",IFERROR(INDEX('계산'!$E$12:$E$761,MATCH("20|7",'계산'!$G$12:$G$761,0)),""))</f>
        <v/>
      </c>
      <c r="AA13" s="12">
        <f>IF(AA$6="","",IFERROR(INDEX('계산'!$E$12:$E$761,MATCH("21|7",'계산'!$G$12:$G$761,0)),""))</f>
        <v/>
      </c>
      <c r="AB13" s="12">
        <f>IF(AB$6="","",IFERROR(INDEX('계산'!$E$12:$E$761,MATCH("22|7",'계산'!$G$12:$G$761,0)),""))</f>
        <v/>
      </c>
      <c r="AC13" s="12">
        <f>IF(AC$6="","",IFERROR(INDEX('계산'!$E$12:$E$761,MATCH("23|7",'계산'!$G$12:$G$761,0)),""))</f>
        <v/>
      </c>
      <c r="AD13" s="12">
        <f>IF(AD$6="","",IFERROR(INDEX('계산'!$E$12:$E$761,MATCH("24|7",'계산'!$G$12:$G$761,0)),""))</f>
        <v/>
      </c>
      <c r="AE13" s="12">
        <f>IF(AE$6="","",IFERROR(INDEX('계산'!$E$12:$E$761,MATCH("25|7",'계산'!$G$12:$G$761,0)),""))</f>
        <v/>
      </c>
      <c r="AF13" s="12">
        <f>IF(AF$6="","",IFERROR(INDEX('계산'!$E$12:$E$761,MATCH("26|7",'계산'!$G$12:$G$761,0)),""))</f>
        <v/>
      </c>
      <c r="AG13" s="12">
        <f>IF(AG$6="","",IFERROR(INDEX('계산'!$E$12:$E$761,MATCH("27|7",'계산'!$G$12:$G$761,0)),""))</f>
        <v/>
      </c>
      <c r="AH13" s="12">
        <f>IF(AH$6="","",IFERROR(INDEX('계산'!$E$12:$E$761,MATCH("28|7",'계산'!$G$12:$G$761,0)),""))</f>
        <v/>
      </c>
      <c r="AI13" s="12">
        <f>IF(AI$6="","",IFERROR(INDEX('계산'!$E$12:$E$761,MATCH("29|7",'계산'!$G$12:$G$761,0)),""))</f>
        <v/>
      </c>
      <c r="AJ13" s="12">
        <f>IF(AJ$6="","",IFERROR(INDEX('계산'!$E$12:$E$761,MATCH("30|7",'계산'!$G$12:$G$761,0)),""))</f>
        <v/>
      </c>
    </row>
    <row r="14">
      <c r="A14" s="2" t="n"/>
      <c r="B14" s="2" t="n"/>
      <c r="C14" s="7" t="n"/>
      <c r="E14" s="11" t="n">
        <v>8</v>
      </c>
      <c r="F14" s="11" t="n"/>
      <c r="G14" s="12">
        <f>IF(G$6="","",IFERROR(INDEX('계산'!$E$12:$E$761,MATCH("1|8",'계산'!$G$12:$G$761,0)),""))</f>
        <v/>
      </c>
      <c r="H14" s="12">
        <f>IF(H$6="","",IFERROR(INDEX('계산'!$E$12:$E$761,MATCH("2|8",'계산'!$G$12:$G$761,0)),""))</f>
        <v/>
      </c>
      <c r="I14" s="12">
        <f>IF(I$6="","",IFERROR(INDEX('계산'!$E$12:$E$761,MATCH("3|8",'계산'!$G$12:$G$761,0)),""))</f>
        <v/>
      </c>
      <c r="J14" s="12">
        <f>IF(J$6="","",IFERROR(INDEX('계산'!$E$12:$E$761,MATCH("4|8",'계산'!$G$12:$G$761,0)),""))</f>
        <v/>
      </c>
      <c r="K14" s="12">
        <f>IF(K$6="","",IFERROR(INDEX('계산'!$E$12:$E$761,MATCH("5|8",'계산'!$G$12:$G$761,0)),""))</f>
        <v/>
      </c>
      <c r="L14" s="12">
        <f>IF(L$6="","",IFERROR(INDEX('계산'!$E$12:$E$761,MATCH("6|8",'계산'!$G$12:$G$761,0)),""))</f>
        <v/>
      </c>
      <c r="M14" s="12">
        <f>IF(M$6="","",IFERROR(INDEX('계산'!$E$12:$E$761,MATCH("7|8",'계산'!$G$12:$G$761,0)),""))</f>
        <v/>
      </c>
      <c r="N14" s="12">
        <f>IF(N$6="","",IFERROR(INDEX('계산'!$E$12:$E$761,MATCH("8|8",'계산'!$G$12:$G$761,0)),""))</f>
        <v/>
      </c>
      <c r="O14" s="12">
        <f>IF(O$6="","",IFERROR(INDEX('계산'!$E$12:$E$761,MATCH("9|8",'계산'!$G$12:$G$761,0)),""))</f>
        <v/>
      </c>
      <c r="P14" s="12">
        <f>IF(P$6="","",IFERROR(INDEX('계산'!$E$12:$E$761,MATCH("10|8",'계산'!$G$12:$G$761,0)),""))</f>
        <v/>
      </c>
      <c r="Q14" s="12">
        <f>IF(Q$6="","",IFERROR(INDEX('계산'!$E$12:$E$761,MATCH("11|8",'계산'!$G$12:$G$761,0)),""))</f>
        <v/>
      </c>
      <c r="R14" s="12">
        <f>IF(R$6="","",IFERROR(INDEX('계산'!$E$12:$E$761,MATCH("12|8",'계산'!$G$12:$G$761,0)),""))</f>
        <v/>
      </c>
      <c r="S14" s="12">
        <f>IF(S$6="","",IFERROR(INDEX('계산'!$E$12:$E$761,MATCH("13|8",'계산'!$G$12:$G$761,0)),""))</f>
        <v/>
      </c>
      <c r="T14" s="12">
        <f>IF(T$6="","",IFERROR(INDEX('계산'!$E$12:$E$761,MATCH("14|8",'계산'!$G$12:$G$761,0)),""))</f>
        <v/>
      </c>
      <c r="U14" s="12">
        <f>IF(U$6="","",IFERROR(INDEX('계산'!$E$12:$E$761,MATCH("15|8",'계산'!$G$12:$G$761,0)),""))</f>
        <v/>
      </c>
      <c r="V14" s="12">
        <f>IF(V$6="","",IFERROR(INDEX('계산'!$E$12:$E$761,MATCH("16|8",'계산'!$G$12:$G$761,0)),""))</f>
        <v/>
      </c>
      <c r="W14" s="12">
        <f>IF(W$6="","",IFERROR(INDEX('계산'!$E$12:$E$761,MATCH("17|8",'계산'!$G$12:$G$761,0)),""))</f>
        <v/>
      </c>
      <c r="X14" s="12">
        <f>IF(X$6="","",IFERROR(INDEX('계산'!$E$12:$E$761,MATCH("18|8",'계산'!$G$12:$G$761,0)),""))</f>
        <v/>
      </c>
      <c r="Y14" s="12">
        <f>IF(Y$6="","",IFERROR(INDEX('계산'!$E$12:$E$761,MATCH("19|8",'계산'!$G$12:$G$761,0)),""))</f>
        <v/>
      </c>
      <c r="Z14" s="12">
        <f>IF(Z$6="","",IFERROR(INDEX('계산'!$E$12:$E$761,MATCH("20|8",'계산'!$G$12:$G$761,0)),""))</f>
        <v/>
      </c>
      <c r="AA14" s="12">
        <f>IF(AA$6="","",IFERROR(INDEX('계산'!$E$12:$E$761,MATCH("21|8",'계산'!$G$12:$G$761,0)),""))</f>
        <v/>
      </c>
      <c r="AB14" s="12">
        <f>IF(AB$6="","",IFERROR(INDEX('계산'!$E$12:$E$761,MATCH("22|8",'계산'!$G$12:$G$761,0)),""))</f>
        <v/>
      </c>
      <c r="AC14" s="12">
        <f>IF(AC$6="","",IFERROR(INDEX('계산'!$E$12:$E$761,MATCH("23|8",'계산'!$G$12:$G$761,0)),""))</f>
        <v/>
      </c>
      <c r="AD14" s="12">
        <f>IF(AD$6="","",IFERROR(INDEX('계산'!$E$12:$E$761,MATCH("24|8",'계산'!$G$12:$G$761,0)),""))</f>
        <v/>
      </c>
      <c r="AE14" s="12">
        <f>IF(AE$6="","",IFERROR(INDEX('계산'!$E$12:$E$761,MATCH("25|8",'계산'!$G$12:$G$761,0)),""))</f>
        <v/>
      </c>
      <c r="AF14" s="12">
        <f>IF(AF$6="","",IFERROR(INDEX('계산'!$E$12:$E$761,MATCH("26|8",'계산'!$G$12:$G$761,0)),""))</f>
        <v/>
      </c>
      <c r="AG14" s="12">
        <f>IF(AG$6="","",IFERROR(INDEX('계산'!$E$12:$E$761,MATCH("27|8",'계산'!$G$12:$G$761,0)),""))</f>
        <v/>
      </c>
      <c r="AH14" s="12">
        <f>IF(AH$6="","",IFERROR(INDEX('계산'!$E$12:$E$761,MATCH("28|8",'계산'!$G$12:$G$761,0)),""))</f>
        <v/>
      </c>
      <c r="AI14" s="12">
        <f>IF(AI$6="","",IFERROR(INDEX('계산'!$E$12:$E$761,MATCH("29|8",'계산'!$G$12:$G$761,0)),""))</f>
        <v/>
      </c>
      <c r="AJ14" s="12">
        <f>IF(AJ$6="","",IFERROR(INDEX('계산'!$E$12:$E$761,MATCH("30|8",'계산'!$G$12:$G$761,0)),""))</f>
        <v/>
      </c>
    </row>
    <row r="15">
      <c r="A15" s="2" t="inlineStr">
        <is>
          <t>차  종</t>
        </is>
      </c>
      <c r="B15" s="2" t="n"/>
      <c r="C15" s="7" t="inlineStr"/>
      <c r="E15" s="11" t="n">
        <v>9</v>
      </c>
      <c r="F15" s="11" t="n"/>
      <c r="G15" s="12">
        <f>IF(G$6="","",IFERROR(INDEX('계산'!$E$12:$E$761,MATCH("1|9",'계산'!$G$12:$G$761,0)),""))</f>
        <v/>
      </c>
      <c r="H15" s="12">
        <f>IF(H$6="","",IFERROR(INDEX('계산'!$E$12:$E$761,MATCH("2|9",'계산'!$G$12:$G$761,0)),""))</f>
        <v/>
      </c>
      <c r="I15" s="12">
        <f>IF(I$6="","",IFERROR(INDEX('계산'!$E$12:$E$761,MATCH("3|9",'계산'!$G$12:$G$761,0)),""))</f>
        <v/>
      </c>
      <c r="J15" s="12">
        <f>IF(J$6="","",IFERROR(INDEX('계산'!$E$12:$E$761,MATCH("4|9",'계산'!$G$12:$G$761,0)),""))</f>
        <v/>
      </c>
      <c r="K15" s="12">
        <f>IF(K$6="","",IFERROR(INDEX('계산'!$E$12:$E$761,MATCH("5|9",'계산'!$G$12:$G$761,0)),""))</f>
        <v/>
      </c>
      <c r="L15" s="12">
        <f>IF(L$6="","",IFERROR(INDEX('계산'!$E$12:$E$761,MATCH("6|9",'계산'!$G$12:$G$761,0)),""))</f>
        <v/>
      </c>
      <c r="M15" s="12">
        <f>IF(M$6="","",IFERROR(INDEX('계산'!$E$12:$E$761,MATCH("7|9",'계산'!$G$12:$G$761,0)),""))</f>
        <v/>
      </c>
      <c r="N15" s="12">
        <f>IF(N$6="","",IFERROR(INDEX('계산'!$E$12:$E$761,MATCH("8|9",'계산'!$G$12:$G$761,0)),""))</f>
        <v/>
      </c>
      <c r="O15" s="12">
        <f>IF(O$6="","",IFERROR(INDEX('계산'!$E$12:$E$761,MATCH("9|9",'계산'!$G$12:$G$761,0)),""))</f>
        <v/>
      </c>
      <c r="P15" s="12">
        <f>IF(P$6="","",IFERROR(INDEX('계산'!$E$12:$E$761,MATCH("10|9",'계산'!$G$12:$G$761,0)),""))</f>
        <v/>
      </c>
      <c r="Q15" s="12">
        <f>IF(Q$6="","",IFERROR(INDEX('계산'!$E$12:$E$761,MATCH("11|9",'계산'!$G$12:$G$761,0)),""))</f>
        <v/>
      </c>
      <c r="R15" s="12">
        <f>IF(R$6="","",IFERROR(INDEX('계산'!$E$12:$E$761,MATCH("12|9",'계산'!$G$12:$G$761,0)),""))</f>
        <v/>
      </c>
      <c r="S15" s="12">
        <f>IF(S$6="","",IFERROR(INDEX('계산'!$E$12:$E$761,MATCH("13|9",'계산'!$G$12:$G$761,0)),""))</f>
        <v/>
      </c>
      <c r="T15" s="12">
        <f>IF(T$6="","",IFERROR(INDEX('계산'!$E$12:$E$761,MATCH("14|9",'계산'!$G$12:$G$761,0)),""))</f>
        <v/>
      </c>
      <c r="U15" s="12">
        <f>IF(U$6="","",IFERROR(INDEX('계산'!$E$12:$E$761,MATCH("15|9",'계산'!$G$12:$G$761,0)),""))</f>
        <v/>
      </c>
      <c r="V15" s="12">
        <f>IF(V$6="","",IFERROR(INDEX('계산'!$E$12:$E$761,MATCH("16|9",'계산'!$G$12:$G$761,0)),""))</f>
        <v/>
      </c>
      <c r="W15" s="12">
        <f>IF(W$6="","",IFERROR(INDEX('계산'!$E$12:$E$761,MATCH("17|9",'계산'!$G$12:$G$761,0)),""))</f>
        <v/>
      </c>
      <c r="X15" s="12">
        <f>IF(X$6="","",IFERROR(INDEX('계산'!$E$12:$E$761,MATCH("18|9",'계산'!$G$12:$G$761,0)),""))</f>
        <v/>
      </c>
      <c r="Y15" s="12">
        <f>IF(Y$6="","",IFERROR(INDEX('계산'!$E$12:$E$761,MATCH("19|9",'계산'!$G$12:$G$761,0)),""))</f>
        <v/>
      </c>
      <c r="Z15" s="12">
        <f>IF(Z$6="","",IFERROR(INDEX('계산'!$E$12:$E$761,MATCH("20|9",'계산'!$G$12:$G$761,0)),""))</f>
        <v/>
      </c>
      <c r="AA15" s="12">
        <f>IF(AA$6="","",IFERROR(INDEX('계산'!$E$12:$E$761,MATCH("21|9",'계산'!$G$12:$G$761,0)),""))</f>
        <v/>
      </c>
      <c r="AB15" s="12">
        <f>IF(AB$6="","",IFERROR(INDEX('계산'!$E$12:$E$761,MATCH("22|9",'계산'!$G$12:$G$761,0)),""))</f>
        <v/>
      </c>
      <c r="AC15" s="12">
        <f>IF(AC$6="","",IFERROR(INDEX('계산'!$E$12:$E$761,MATCH("23|9",'계산'!$G$12:$G$761,0)),""))</f>
        <v/>
      </c>
      <c r="AD15" s="12">
        <f>IF(AD$6="","",IFERROR(INDEX('계산'!$E$12:$E$761,MATCH("24|9",'계산'!$G$12:$G$761,0)),""))</f>
        <v/>
      </c>
      <c r="AE15" s="12">
        <f>IF(AE$6="","",IFERROR(INDEX('계산'!$E$12:$E$761,MATCH("25|9",'계산'!$G$12:$G$761,0)),""))</f>
        <v/>
      </c>
      <c r="AF15" s="12">
        <f>IF(AF$6="","",IFERROR(INDEX('계산'!$E$12:$E$761,MATCH("26|9",'계산'!$G$12:$G$761,0)),""))</f>
        <v/>
      </c>
      <c r="AG15" s="12">
        <f>IF(AG$6="","",IFERROR(INDEX('계산'!$E$12:$E$761,MATCH("27|9",'계산'!$G$12:$G$761,0)),""))</f>
        <v/>
      </c>
      <c r="AH15" s="12">
        <f>IF(AH$6="","",IFERROR(INDEX('계산'!$E$12:$E$761,MATCH("28|9",'계산'!$G$12:$G$761,0)),""))</f>
        <v/>
      </c>
      <c r="AI15" s="12">
        <f>IF(AI$6="","",IFERROR(INDEX('계산'!$E$12:$E$761,MATCH("29|9",'계산'!$G$12:$G$761,0)),""))</f>
        <v/>
      </c>
      <c r="AJ15" s="12">
        <f>IF(AJ$6="","",IFERROR(INDEX('계산'!$E$12:$E$761,MATCH("30|9",'계산'!$G$12:$G$761,0)),""))</f>
        <v/>
      </c>
    </row>
    <row r="16">
      <c r="A16" s="2" t="n"/>
      <c r="B16" s="2" t="n"/>
      <c r="C16" s="7" t="n"/>
      <c r="E16" s="11" t="n">
        <v>10</v>
      </c>
      <c r="F16" s="11" t="n"/>
      <c r="G16" s="12">
        <f>IF(G$6="","",IFERROR(INDEX('계산'!$E$12:$E$761,MATCH("1|10",'계산'!$G$12:$G$761,0)),""))</f>
        <v/>
      </c>
      <c r="H16" s="12">
        <f>IF(H$6="","",IFERROR(INDEX('계산'!$E$12:$E$761,MATCH("2|10",'계산'!$G$12:$G$761,0)),""))</f>
        <v/>
      </c>
      <c r="I16" s="12">
        <f>IF(I$6="","",IFERROR(INDEX('계산'!$E$12:$E$761,MATCH("3|10",'계산'!$G$12:$G$761,0)),""))</f>
        <v/>
      </c>
      <c r="J16" s="12">
        <f>IF(J$6="","",IFERROR(INDEX('계산'!$E$12:$E$761,MATCH("4|10",'계산'!$G$12:$G$761,0)),""))</f>
        <v/>
      </c>
      <c r="K16" s="12">
        <f>IF(K$6="","",IFERROR(INDEX('계산'!$E$12:$E$761,MATCH("5|10",'계산'!$G$12:$G$761,0)),""))</f>
        <v/>
      </c>
      <c r="L16" s="12">
        <f>IF(L$6="","",IFERROR(INDEX('계산'!$E$12:$E$761,MATCH("6|10",'계산'!$G$12:$G$761,0)),""))</f>
        <v/>
      </c>
      <c r="M16" s="12">
        <f>IF(M$6="","",IFERROR(INDEX('계산'!$E$12:$E$761,MATCH("7|10",'계산'!$G$12:$G$761,0)),""))</f>
        <v/>
      </c>
      <c r="N16" s="12">
        <f>IF(N$6="","",IFERROR(INDEX('계산'!$E$12:$E$761,MATCH("8|10",'계산'!$G$12:$G$761,0)),""))</f>
        <v/>
      </c>
      <c r="O16" s="12">
        <f>IF(O$6="","",IFERROR(INDEX('계산'!$E$12:$E$761,MATCH("9|10",'계산'!$G$12:$G$761,0)),""))</f>
        <v/>
      </c>
      <c r="P16" s="12">
        <f>IF(P$6="","",IFERROR(INDEX('계산'!$E$12:$E$761,MATCH("10|10",'계산'!$G$12:$G$761,0)),""))</f>
        <v/>
      </c>
      <c r="Q16" s="12">
        <f>IF(Q$6="","",IFERROR(INDEX('계산'!$E$12:$E$761,MATCH("11|10",'계산'!$G$12:$G$761,0)),""))</f>
        <v/>
      </c>
      <c r="R16" s="12">
        <f>IF(R$6="","",IFERROR(INDEX('계산'!$E$12:$E$761,MATCH("12|10",'계산'!$G$12:$G$761,0)),""))</f>
        <v/>
      </c>
      <c r="S16" s="12">
        <f>IF(S$6="","",IFERROR(INDEX('계산'!$E$12:$E$761,MATCH("13|10",'계산'!$G$12:$G$761,0)),""))</f>
        <v/>
      </c>
      <c r="T16" s="12">
        <f>IF(T$6="","",IFERROR(INDEX('계산'!$E$12:$E$761,MATCH("14|10",'계산'!$G$12:$G$761,0)),""))</f>
        <v/>
      </c>
      <c r="U16" s="12">
        <f>IF(U$6="","",IFERROR(INDEX('계산'!$E$12:$E$761,MATCH("15|10",'계산'!$G$12:$G$761,0)),""))</f>
        <v/>
      </c>
      <c r="V16" s="12">
        <f>IF(V$6="","",IFERROR(INDEX('계산'!$E$12:$E$761,MATCH("16|10",'계산'!$G$12:$G$761,0)),""))</f>
        <v/>
      </c>
      <c r="W16" s="12">
        <f>IF(W$6="","",IFERROR(INDEX('계산'!$E$12:$E$761,MATCH("17|10",'계산'!$G$12:$G$761,0)),""))</f>
        <v/>
      </c>
      <c r="X16" s="12">
        <f>IF(X$6="","",IFERROR(INDEX('계산'!$E$12:$E$761,MATCH("18|10",'계산'!$G$12:$G$761,0)),""))</f>
        <v/>
      </c>
      <c r="Y16" s="12">
        <f>IF(Y$6="","",IFERROR(INDEX('계산'!$E$12:$E$761,MATCH("19|10",'계산'!$G$12:$G$761,0)),""))</f>
        <v/>
      </c>
      <c r="Z16" s="12">
        <f>IF(Z$6="","",IFERROR(INDEX('계산'!$E$12:$E$761,MATCH("20|10",'계산'!$G$12:$G$761,0)),""))</f>
        <v/>
      </c>
      <c r="AA16" s="12">
        <f>IF(AA$6="","",IFERROR(INDEX('계산'!$E$12:$E$761,MATCH("21|10",'계산'!$G$12:$G$761,0)),""))</f>
        <v/>
      </c>
      <c r="AB16" s="12">
        <f>IF(AB$6="","",IFERROR(INDEX('계산'!$E$12:$E$761,MATCH("22|10",'계산'!$G$12:$G$761,0)),""))</f>
        <v/>
      </c>
      <c r="AC16" s="12">
        <f>IF(AC$6="","",IFERROR(INDEX('계산'!$E$12:$E$761,MATCH("23|10",'계산'!$G$12:$G$761,0)),""))</f>
        <v/>
      </c>
      <c r="AD16" s="12">
        <f>IF(AD$6="","",IFERROR(INDEX('계산'!$E$12:$E$761,MATCH("24|10",'계산'!$G$12:$G$761,0)),""))</f>
        <v/>
      </c>
      <c r="AE16" s="12">
        <f>IF(AE$6="","",IFERROR(INDEX('계산'!$E$12:$E$761,MATCH("25|10",'계산'!$G$12:$G$761,0)),""))</f>
        <v/>
      </c>
      <c r="AF16" s="12">
        <f>IF(AF$6="","",IFERROR(INDEX('계산'!$E$12:$E$761,MATCH("26|10",'계산'!$G$12:$G$761,0)),""))</f>
        <v/>
      </c>
      <c r="AG16" s="12">
        <f>IF(AG$6="","",IFERROR(INDEX('계산'!$E$12:$E$761,MATCH("27|10",'계산'!$G$12:$G$761,0)),""))</f>
        <v/>
      </c>
      <c r="AH16" s="12">
        <f>IF(AH$6="","",IFERROR(INDEX('계산'!$E$12:$E$761,MATCH("28|10",'계산'!$G$12:$G$761,0)),""))</f>
        <v/>
      </c>
      <c r="AI16" s="12">
        <f>IF(AI$6="","",IFERROR(INDEX('계산'!$E$12:$E$761,MATCH("29|10",'계산'!$G$12:$G$761,0)),""))</f>
        <v/>
      </c>
      <c r="AJ16" s="12">
        <f>IF(AJ$6="","",IFERROR(INDEX('계산'!$E$12:$E$761,MATCH("30|10",'계산'!$G$12:$G$761,0)),""))</f>
        <v/>
      </c>
    </row>
    <row r="17">
      <c r="A17" s="2" t="inlineStr">
        <is>
          <t>작업자</t>
        </is>
      </c>
      <c r="B17" s="2" t="n"/>
      <c r="C17" s="7">
        <f>'계산'!$AN$11</f>
        <v/>
      </c>
      <c r="E17" s="11" t="n">
        <v>11</v>
      </c>
      <c r="F17" s="11" t="n"/>
      <c r="G17" s="12">
        <f>IF(G$6="","",IFERROR(INDEX('계산'!$E$12:$E$761,MATCH("1|11",'계산'!$G$12:$G$761,0)),""))</f>
        <v/>
      </c>
      <c r="H17" s="12">
        <f>IF(H$6="","",IFERROR(INDEX('계산'!$E$12:$E$761,MATCH("2|11",'계산'!$G$12:$G$761,0)),""))</f>
        <v/>
      </c>
      <c r="I17" s="12">
        <f>IF(I$6="","",IFERROR(INDEX('계산'!$E$12:$E$761,MATCH("3|11",'계산'!$G$12:$G$761,0)),""))</f>
        <v/>
      </c>
      <c r="J17" s="12">
        <f>IF(J$6="","",IFERROR(INDEX('계산'!$E$12:$E$761,MATCH("4|11",'계산'!$G$12:$G$761,0)),""))</f>
        <v/>
      </c>
      <c r="K17" s="12">
        <f>IF(K$6="","",IFERROR(INDEX('계산'!$E$12:$E$761,MATCH("5|11",'계산'!$G$12:$G$761,0)),""))</f>
        <v/>
      </c>
      <c r="L17" s="12">
        <f>IF(L$6="","",IFERROR(INDEX('계산'!$E$12:$E$761,MATCH("6|11",'계산'!$G$12:$G$761,0)),""))</f>
        <v/>
      </c>
      <c r="M17" s="12">
        <f>IF(M$6="","",IFERROR(INDEX('계산'!$E$12:$E$761,MATCH("7|11",'계산'!$G$12:$G$761,0)),""))</f>
        <v/>
      </c>
      <c r="N17" s="12">
        <f>IF(N$6="","",IFERROR(INDEX('계산'!$E$12:$E$761,MATCH("8|11",'계산'!$G$12:$G$761,0)),""))</f>
        <v/>
      </c>
      <c r="O17" s="12">
        <f>IF(O$6="","",IFERROR(INDEX('계산'!$E$12:$E$761,MATCH("9|11",'계산'!$G$12:$G$761,0)),""))</f>
        <v/>
      </c>
      <c r="P17" s="12">
        <f>IF(P$6="","",IFERROR(INDEX('계산'!$E$12:$E$761,MATCH("10|11",'계산'!$G$12:$G$761,0)),""))</f>
        <v/>
      </c>
      <c r="Q17" s="12">
        <f>IF(Q$6="","",IFERROR(INDEX('계산'!$E$12:$E$761,MATCH("11|11",'계산'!$G$12:$G$761,0)),""))</f>
        <v/>
      </c>
      <c r="R17" s="12">
        <f>IF(R$6="","",IFERROR(INDEX('계산'!$E$12:$E$761,MATCH("12|11",'계산'!$G$12:$G$761,0)),""))</f>
        <v/>
      </c>
      <c r="S17" s="12">
        <f>IF(S$6="","",IFERROR(INDEX('계산'!$E$12:$E$761,MATCH("13|11",'계산'!$G$12:$G$761,0)),""))</f>
        <v/>
      </c>
      <c r="T17" s="12">
        <f>IF(T$6="","",IFERROR(INDEX('계산'!$E$12:$E$761,MATCH("14|11",'계산'!$G$12:$G$761,0)),""))</f>
        <v/>
      </c>
      <c r="U17" s="12">
        <f>IF(U$6="","",IFERROR(INDEX('계산'!$E$12:$E$761,MATCH("15|11",'계산'!$G$12:$G$761,0)),""))</f>
        <v/>
      </c>
      <c r="V17" s="12">
        <f>IF(V$6="","",IFERROR(INDEX('계산'!$E$12:$E$761,MATCH("16|11",'계산'!$G$12:$G$761,0)),""))</f>
        <v/>
      </c>
      <c r="W17" s="12">
        <f>IF(W$6="","",IFERROR(INDEX('계산'!$E$12:$E$761,MATCH("17|11",'계산'!$G$12:$G$761,0)),""))</f>
        <v/>
      </c>
      <c r="X17" s="12">
        <f>IF(X$6="","",IFERROR(INDEX('계산'!$E$12:$E$761,MATCH("18|11",'계산'!$G$12:$G$761,0)),""))</f>
        <v/>
      </c>
      <c r="Y17" s="12">
        <f>IF(Y$6="","",IFERROR(INDEX('계산'!$E$12:$E$761,MATCH("19|11",'계산'!$G$12:$G$761,0)),""))</f>
        <v/>
      </c>
      <c r="Z17" s="12">
        <f>IF(Z$6="","",IFERROR(INDEX('계산'!$E$12:$E$761,MATCH("20|11",'계산'!$G$12:$G$761,0)),""))</f>
        <v/>
      </c>
      <c r="AA17" s="12">
        <f>IF(AA$6="","",IFERROR(INDEX('계산'!$E$12:$E$761,MATCH("21|11",'계산'!$G$12:$G$761,0)),""))</f>
        <v/>
      </c>
      <c r="AB17" s="12">
        <f>IF(AB$6="","",IFERROR(INDEX('계산'!$E$12:$E$761,MATCH("22|11",'계산'!$G$12:$G$761,0)),""))</f>
        <v/>
      </c>
      <c r="AC17" s="12">
        <f>IF(AC$6="","",IFERROR(INDEX('계산'!$E$12:$E$761,MATCH("23|11",'계산'!$G$12:$G$761,0)),""))</f>
        <v/>
      </c>
      <c r="AD17" s="12">
        <f>IF(AD$6="","",IFERROR(INDEX('계산'!$E$12:$E$761,MATCH("24|11",'계산'!$G$12:$G$761,0)),""))</f>
        <v/>
      </c>
      <c r="AE17" s="12">
        <f>IF(AE$6="","",IFERROR(INDEX('계산'!$E$12:$E$761,MATCH("25|11",'계산'!$G$12:$G$761,0)),""))</f>
        <v/>
      </c>
      <c r="AF17" s="12">
        <f>IF(AF$6="","",IFERROR(INDEX('계산'!$E$12:$E$761,MATCH("26|11",'계산'!$G$12:$G$761,0)),""))</f>
        <v/>
      </c>
      <c r="AG17" s="12">
        <f>IF(AG$6="","",IFERROR(INDEX('계산'!$E$12:$E$761,MATCH("27|11",'계산'!$G$12:$G$761,0)),""))</f>
        <v/>
      </c>
      <c r="AH17" s="12">
        <f>IF(AH$6="","",IFERROR(INDEX('계산'!$E$12:$E$761,MATCH("28|11",'계산'!$G$12:$G$761,0)),""))</f>
        <v/>
      </c>
      <c r="AI17" s="12">
        <f>IF(AI$6="","",IFERROR(INDEX('계산'!$E$12:$E$761,MATCH("29|11",'계산'!$G$12:$G$761,0)),""))</f>
        <v/>
      </c>
      <c r="AJ17" s="12">
        <f>IF(AJ$6="","",IFERROR(INDEX('계산'!$E$12:$E$761,MATCH("30|11",'계산'!$G$12:$G$761,0)),""))</f>
        <v/>
      </c>
    </row>
    <row r="18">
      <c r="A18" s="2" t="n"/>
      <c r="B18" s="2" t="n"/>
      <c r="C18" s="7" t="n"/>
      <c r="E18" s="11" t="n">
        <v>12</v>
      </c>
      <c r="F18" s="11" t="n"/>
      <c r="G18" s="12">
        <f>IF(G$6="","",IFERROR(INDEX('계산'!$E$12:$E$761,MATCH("1|12",'계산'!$G$12:$G$761,0)),""))</f>
        <v/>
      </c>
      <c r="H18" s="12">
        <f>IF(H$6="","",IFERROR(INDEX('계산'!$E$12:$E$761,MATCH("2|12",'계산'!$G$12:$G$761,0)),""))</f>
        <v/>
      </c>
      <c r="I18" s="12">
        <f>IF(I$6="","",IFERROR(INDEX('계산'!$E$12:$E$761,MATCH("3|12",'계산'!$G$12:$G$761,0)),""))</f>
        <v/>
      </c>
      <c r="J18" s="12">
        <f>IF(J$6="","",IFERROR(INDEX('계산'!$E$12:$E$761,MATCH("4|12",'계산'!$G$12:$G$761,0)),""))</f>
        <v/>
      </c>
      <c r="K18" s="12">
        <f>IF(K$6="","",IFERROR(INDEX('계산'!$E$12:$E$761,MATCH("5|12",'계산'!$G$12:$G$761,0)),""))</f>
        <v/>
      </c>
      <c r="L18" s="12">
        <f>IF(L$6="","",IFERROR(INDEX('계산'!$E$12:$E$761,MATCH("6|12",'계산'!$G$12:$G$761,0)),""))</f>
        <v/>
      </c>
      <c r="M18" s="12">
        <f>IF(M$6="","",IFERROR(INDEX('계산'!$E$12:$E$761,MATCH("7|12",'계산'!$G$12:$G$761,0)),""))</f>
        <v/>
      </c>
      <c r="N18" s="12">
        <f>IF(N$6="","",IFERROR(INDEX('계산'!$E$12:$E$761,MATCH("8|12",'계산'!$G$12:$G$761,0)),""))</f>
        <v/>
      </c>
      <c r="O18" s="12">
        <f>IF(O$6="","",IFERROR(INDEX('계산'!$E$12:$E$761,MATCH("9|12",'계산'!$G$12:$G$761,0)),""))</f>
        <v/>
      </c>
      <c r="P18" s="12">
        <f>IF(P$6="","",IFERROR(INDEX('계산'!$E$12:$E$761,MATCH("10|12",'계산'!$G$12:$G$761,0)),""))</f>
        <v/>
      </c>
      <c r="Q18" s="12">
        <f>IF(Q$6="","",IFERROR(INDEX('계산'!$E$12:$E$761,MATCH("11|12",'계산'!$G$12:$G$761,0)),""))</f>
        <v/>
      </c>
      <c r="R18" s="12">
        <f>IF(R$6="","",IFERROR(INDEX('계산'!$E$12:$E$761,MATCH("12|12",'계산'!$G$12:$G$761,0)),""))</f>
        <v/>
      </c>
      <c r="S18" s="12">
        <f>IF(S$6="","",IFERROR(INDEX('계산'!$E$12:$E$761,MATCH("13|12",'계산'!$G$12:$G$761,0)),""))</f>
        <v/>
      </c>
      <c r="T18" s="12">
        <f>IF(T$6="","",IFERROR(INDEX('계산'!$E$12:$E$761,MATCH("14|12",'계산'!$G$12:$G$761,0)),""))</f>
        <v/>
      </c>
      <c r="U18" s="12">
        <f>IF(U$6="","",IFERROR(INDEX('계산'!$E$12:$E$761,MATCH("15|12",'계산'!$G$12:$G$761,0)),""))</f>
        <v/>
      </c>
      <c r="V18" s="12">
        <f>IF(V$6="","",IFERROR(INDEX('계산'!$E$12:$E$761,MATCH("16|12",'계산'!$G$12:$G$761,0)),""))</f>
        <v/>
      </c>
      <c r="W18" s="12">
        <f>IF(W$6="","",IFERROR(INDEX('계산'!$E$12:$E$761,MATCH("17|12",'계산'!$G$12:$G$761,0)),""))</f>
        <v/>
      </c>
      <c r="X18" s="12">
        <f>IF(X$6="","",IFERROR(INDEX('계산'!$E$12:$E$761,MATCH("18|12",'계산'!$G$12:$G$761,0)),""))</f>
        <v/>
      </c>
      <c r="Y18" s="12">
        <f>IF(Y$6="","",IFERROR(INDEX('계산'!$E$12:$E$761,MATCH("19|12",'계산'!$G$12:$G$761,0)),""))</f>
        <v/>
      </c>
      <c r="Z18" s="12">
        <f>IF(Z$6="","",IFERROR(INDEX('계산'!$E$12:$E$761,MATCH("20|12",'계산'!$G$12:$G$761,0)),""))</f>
        <v/>
      </c>
      <c r="AA18" s="12">
        <f>IF(AA$6="","",IFERROR(INDEX('계산'!$E$12:$E$761,MATCH("21|12",'계산'!$G$12:$G$761,0)),""))</f>
        <v/>
      </c>
      <c r="AB18" s="12">
        <f>IF(AB$6="","",IFERROR(INDEX('계산'!$E$12:$E$761,MATCH("22|12",'계산'!$G$12:$G$761,0)),""))</f>
        <v/>
      </c>
      <c r="AC18" s="12">
        <f>IF(AC$6="","",IFERROR(INDEX('계산'!$E$12:$E$761,MATCH("23|12",'계산'!$G$12:$G$761,0)),""))</f>
        <v/>
      </c>
      <c r="AD18" s="12">
        <f>IF(AD$6="","",IFERROR(INDEX('계산'!$E$12:$E$761,MATCH("24|12",'계산'!$G$12:$G$761,0)),""))</f>
        <v/>
      </c>
      <c r="AE18" s="12">
        <f>IF(AE$6="","",IFERROR(INDEX('계산'!$E$12:$E$761,MATCH("25|12",'계산'!$G$12:$G$761,0)),""))</f>
        <v/>
      </c>
      <c r="AF18" s="12">
        <f>IF(AF$6="","",IFERROR(INDEX('계산'!$E$12:$E$761,MATCH("26|12",'계산'!$G$12:$G$761,0)),""))</f>
        <v/>
      </c>
      <c r="AG18" s="12">
        <f>IF(AG$6="","",IFERROR(INDEX('계산'!$E$12:$E$761,MATCH("27|12",'계산'!$G$12:$G$761,0)),""))</f>
        <v/>
      </c>
      <c r="AH18" s="12">
        <f>IF(AH$6="","",IFERROR(INDEX('계산'!$E$12:$E$761,MATCH("28|12",'계산'!$G$12:$G$761,0)),""))</f>
        <v/>
      </c>
      <c r="AI18" s="12">
        <f>IF(AI$6="","",IFERROR(INDEX('계산'!$E$12:$E$761,MATCH("29|12",'계산'!$G$12:$G$761,0)),""))</f>
        <v/>
      </c>
      <c r="AJ18" s="12">
        <f>IF(AJ$6="","",IFERROR(INDEX('계산'!$E$12:$E$761,MATCH("30|12",'계산'!$G$12:$G$761,0)),""))</f>
        <v/>
      </c>
    </row>
    <row r="19">
      <c r="A19" s="2" t="inlineStr">
        <is>
          <t>규
격</t>
        </is>
      </c>
      <c r="B19" s="13" t="inlineStr">
        <is>
          <t>Nominal</t>
        </is>
      </c>
      <c r="C19" s="7">
        <f>IF(ISNUMBER('계산'!$AO$16),'계산'!$AO$16,IF(AND(ISNUMBER('계산'!$AO$15),ISNUMBER('계산'!$AO$17)),('계산'!$AO$15+'계산'!$AO$17)/2,""))</f>
        <v/>
      </c>
      <c r="E19" s="11" t="n">
        <v>13</v>
      </c>
      <c r="F19" s="11" t="n"/>
      <c r="G19" s="12">
        <f>IF(G$6="","",IFERROR(INDEX('계산'!$E$12:$E$761,MATCH("1|13",'계산'!$G$12:$G$761,0)),""))</f>
        <v/>
      </c>
      <c r="H19" s="12">
        <f>IF(H$6="","",IFERROR(INDEX('계산'!$E$12:$E$761,MATCH("2|13",'계산'!$G$12:$G$761,0)),""))</f>
        <v/>
      </c>
      <c r="I19" s="12">
        <f>IF(I$6="","",IFERROR(INDEX('계산'!$E$12:$E$761,MATCH("3|13",'계산'!$G$12:$G$761,0)),""))</f>
        <v/>
      </c>
      <c r="J19" s="12">
        <f>IF(J$6="","",IFERROR(INDEX('계산'!$E$12:$E$761,MATCH("4|13",'계산'!$G$12:$G$761,0)),""))</f>
        <v/>
      </c>
      <c r="K19" s="12">
        <f>IF(K$6="","",IFERROR(INDEX('계산'!$E$12:$E$761,MATCH("5|13",'계산'!$G$12:$G$761,0)),""))</f>
        <v/>
      </c>
      <c r="L19" s="12">
        <f>IF(L$6="","",IFERROR(INDEX('계산'!$E$12:$E$761,MATCH("6|13",'계산'!$G$12:$G$761,0)),""))</f>
        <v/>
      </c>
      <c r="M19" s="12">
        <f>IF(M$6="","",IFERROR(INDEX('계산'!$E$12:$E$761,MATCH("7|13",'계산'!$G$12:$G$761,0)),""))</f>
        <v/>
      </c>
      <c r="N19" s="12">
        <f>IF(N$6="","",IFERROR(INDEX('계산'!$E$12:$E$761,MATCH("8|13",'계산'!$G$12:$G$761,0)),""))</f>
        <v/>
      </c>
      <c r="O19" s="12">
        <f>IF(O$6="","",IFERROR(INDEX('계산'!$E$12:$E$761,MATCH("9|13",'계산'!$G$12:$G$761,0)),""))</f>
        <v/>
      </c>
      <c r="P19" s="12">
        <f>IF(P$6="","",IFERROR(INDEX('계산'!$E$12:$E$761,MATCH("10|13",'계산'!$G$12:$G$761,0)),""))</f>
        <v/>
      </c>
      <c r="Q19" s="12">
        <f>IF(Q$6="","",IFERROR(INDEX('계산'!$E$12:$E$761,MATCH("11|13",'계산'!$G$12:$G$761,0)),""))</f>
        <v/>
      </c>
      <c r="R19" s="12">
        <f>IF(R$6="","",IFERROR(INDEX('계산'!$E$12:$E$761,MATCH("12|13",'계산'!$G$12:$G$761,0)),""))</f>
        <v/>
      </c>
      <c r="S19" s="12">
        <f>IF(S$6="","",IFERROR(INDEX('계산'!$E$12:$E$761,MATCH("13|13",'계산'!$G$12:$G$761,0)),""))</f>
        <v/>
      </c>
      <c r="T19" s="12">
        <f>IF(T$6="","",IFERROR(INDEX('계산'!$E$12:$E$761,MATCH("14|13",'계산'!$G$12:$G$761,0)),""))</f>
        <v/>
      </c>
      <c r="U19" s="12">
        <f>IF(U$6="","",IFERROR(INDEX('계산'!$E$12:$E$761,MATCH("15|13",'계산'!$G$12:$G$761,0)),""))</f>
        <v/>
      </c>
      <c r="V19" s="12">
        <f>IF(V$6="","",IFERROR(INDEX('계산'!$E$12:$E$761,MATCH("16|13",'계산'!$G$12:$G$761,0)),""))</f>
        <v/>
      </c>
      <c r="W19" s="12">
        <f>IF(W$6="","",IFERROR(INDEX('계산'!$E$12:$E$761,MATCH("17|13",'계산'!$G$12:$G$761,0)),""))</f>
        <v/>
      </c>
      <c r="X19" s="12">
        <f>IF(X$6="","",IFERROR(INDEX('계산'!$E$12:$E$761,MATCH("18|13",'계산'!$G$12:$G$761,0)),""))</f>
        <v/>
      </c>
      <c r="Y19" s="12">
        <f>IF(Y$6="","",IFERROR(INDEX('계산'!$E$12:$E$761,MATCH("19|13",'계산'!$G$12:$G$761,0)),""))</f>
        <v/>
      </c>
      <c r="Z19" s="12">
        <f>IF(Z$6="","",IFERROR(INDEX('계산'!$E$12:$E$761,MATCH("20|13",'계산'!$G$12:$G$761,0)),""))</f>
        <v/>
      </c>
      <c r="AA19" s="12">
        <f>IF(AA$6="","",IFERROR(INDEX('계산'!$E$12:$E$761,MATCH("21|13",'계산'!$G$12:$G$761,0)),""))</f>
        <v/>
      </c>
      <c r="AB19" s="12">
        <f>IF(AB$6="","",IFERROR(INDEX('계산'!$E$12:$E$761,MATCH("22|13",'계산'!$G$12:$G$761,0)),""))</f>
        <v/>
      </c>
      <c r="AC19" s="12">
        <f>IF(AC$6="","",IFERROR(INDEX('계산'!$E$12:$E$761,MATCH("23|13",'계산'!$G$12:$G$761,0)),""))</f>
        <v/>
      </c>
      <c r="AD19" s="12">
        <f>IF(AD$6="","",IFERROR(INDEX('계산'!$E$12:$E$761,MATCH("24|13",'계산'!$G$12:$G$761,0)),""))</f>
        <v/>
      </c>
      <c r="AE19" s="12">
        <f>IF(AE$6="","",IFERROR(INDEX('계산'!$E$12:$E$761,MATCH("25|13",'계산'!$G$12:$G$761,0)),""))</f>
        <v/>
      </c>
      <c r="AF19" s="12">
        <f>IF(AF$6="","",IFERROR(INDEX('계산'!$E$12:$E$761,MATCH("26|13",'계산'!$G$12:$G$761,0)),""))</f>
        <v/>
      </c>
      <c r="AG19" s="12">
        <f>IF(AG$6="","",IFERROR(INDEX('계산'!$E$12:$E$761,MATCH("27|13",'계산'!$G$12:$G$761,0)),""))</f>
        <v/>
      </c>
      <c r="AH19" s="12">
        <f>IF(AH$6="","",IFERROR(INDEX('계산'!$E$12:$E$761,MATCH("28|13",'계산'!$G$12:$G$761,0)),""))</f>
        <v/>
      </c>
      <c r="AI19" s="12">
        <f>IF(AI$6="","",IFERROR(INDEX('계산'!$E$12:$E$761,MATCH("29|13",'계산'!$G$12:$G$761,0)),""))</f>
        <v/>
      </c>
      <c r="AJ19" s="12">
        <f>IF(AJ$6="","",IFERROR(INDEX('계산'!$E$12:$E$761,MATCH("30|13",'계산'!$G$12:$G$761,0)),""))</f>
        <v/>
      </c>
    </row>
    <row r="20">
      <c r="A20" s="2" t="n"/>
      <c r="B20" s="13" t="n"/>
      <c r="C20" s="7" t="n"/>
      <c r="E20" s="11" t="n">
        <v>14</v>
      </c>
      <c r="F20" s="11" t="n"/>
      <c r="G20" s="12">
        <f>IF(G$6="","",IFERROR(INDEX('계산'!$E$12:$E$761,MATCH("1|14",'계산'!$G$12:$G$761,0)),""))</f>
        <v/>
      </c>
      <c r="H20" s="12">
        <f>IF(H$6="","",IFERROR(INDEX('계산'!$E$12:$E$761,MATCH("2|14",'계산'!$G$12:$G$761,0)),""))</f>
        <v/>
      </c>
      <c r="I20" s="12">
        <f>IF(I$6="","",IFERROR(INDEX('계산'!$E$12:$E$761,MATCH("3|14",'계산'!$G$12:$G$761,0)),""))</f>
        <v/>
      </c>
      <c r="J20" s="12">
        <f>IF(J$6="","",IFERROR(INDEX('계산'!$E$12:$E$761,MATCH("4|14",'계산'!$G$12:$G$761,0)),""))</f>
        <v/>
      </c>
      <c r="K20" s="12">
        <f>IF(K$6="","",IFERROR(INDEX('계산'!$E$12:$E$761,MATCH("5|14",'계산'!$G$12:$G$761,0)),""))</f>
        <v/>
      </c>
      <c r="L20" s="12">
        <f>IF(L$6="","",IFERROR(INDEX('계산'!$E$12:$E$761,MATCH("6|14",'계산'!$G$12:$G$761,0)),""))</f>
        <v/>
      </c>
      <c r="M20" s="12">
        <f>IF(M$6="","",IFERROR(INDEX('계산'!$E$12:$E$761,MATCH("7|14",'계산'!$G$12:$G$761,0)),""))</f>
        <v/>
      </c>
      <c r="N20" s="12">
        <f>IF(N$6="","",IFERROR(INDEX('계산'!$E$12:$E$761,MATCH("8|14",'계산'!$G$12:$G$761,0)),""))</f>
        <v/>
      </c>
      <c r="O20" s="12">
        <f>IF(O$6="","",IFERROR(INDEX('계산'!$E$12:$E$761,MATCH("9|14",'계산'!$G$12:$G$761,0)),""))</f>
        <v/>
      </c>
      <c r="P20" s="12">
        <f>IF(P$6="","",IFERROR(INDEX('계산'!$E$12:$E$761,MATCH("10|14",'계산'!$G$12:$G$761,0)),""))</f>
        <v/>
      </c>
      <c r="Q20" s="12">
        <f>IF(Q$6="","",IFERROR(INDEX('계산'!$E$12:$E$761,MATCH("11|14",'계산'!$G$12:$G$761,0)),""))</f>
        <v/>
      </c>
      <c r="R20" s="12">
        <f>IF(R$6="","",IFERROR(INDEX('계산'!$E$12:$E$761,MATCH("12|14",'계산'!$G$12:$G$761,0)),""))</f>
        <v/>
      </c>
      <c r="S20" s="12">
        <f>IF(S$6="","",IFERROR(INDEX('계산'!$E$12:$E$761,MATCH("13|14",'계산'!$G$12:$G$761,0)),""))</f>
        <v/>
      </c>
      <c r="T20" s="12">
        <f>IF(T$6="","",IFERROR(INDEX('계산'!$E$12:$E$761,MATCH("14|14",'계산'!$G$12:$G$761,0)),""))</f>
        <v/>
      </c>
      <c r="U20" s="12">
        <f>IF(U$6="","",IFERROR(INDEX('계산'!$E$12:$E$761,MATCH("15|14",'계산'!$G$12:$G$761,0)),""))</f>
        <v/>
      </c>
      <c r="V20" s="12">
        <f>IF(V$6="","",IFERROR(INDEX('계산'!$E$12:$E$761,MATCH("16|14",'계산'!$G$12:$G$761,0)),""))</f>
        <v/>
      </c>
      <c r="W20" s="12">
        <f>IF(W$6="","",IFERROR(INDEX('계산'!$E$12:$E$761,MATCH("17|14",'계산'!$G$12:$G$761,0)),""))</f>
        <v/>
      </c>
      <c r="X20" s="12">
        <f>IF(X$6="","",IFERROR(INDEX('계산'!$E$12:$E$761,MATCH("18|14",'계산'!$G$12:$G$761,0)),""))</f>
        <v/>
      </c>
      <c r="Y20" s="12">
        <f>IF(Y$6="","",IFERROR(INDEX('계산'!$E$12:$E$761,MATCH("19|14",'계산'!$G$12:$G$761,0)),""))</f>
        <v/>
      </c>
      <c r="Z20" s="12">
        <f>IF(Z$6="","",IFERROR(INDEX('계산'!$E$12:$E$761,MATCH("20|14",'계산'!$G$12:$G$761,0)),""))</f>
        <v/>
      </c>
      <c r="AA20" s="12">
        <f>IF(AA$6="","",IFERROR(INDEX('계산'!$E$12:$E$761,MATCH("21|14",'계산'!$G$12:$G$761,0)),""))</f>
        <v/>
      </c>
      <c r="AB20" s="12">
        <f>IF(AB$6="","",IFERROR(INDEX('계산'!$E$12:$E$761,MATCH("22|14",'계산'!$G$12:$G$761,0)),""))</f>
        <v/>
      </c>
      <c r="AC20" s="12">
        <f>IF(AC$6="","",IFERROR(INDEX('계산'!$E$12:$E$761,MATCH("23|14",'계산'!$G$12:$G$761,0)),""))</f>
        <v/>
      </c>
      <c r="AD20" s="12">
        <f>IF(AD$6="","",IFERROR(INDEX('계산'!$E$12:$E$761,MATCH("24|14",'계산'!$G$12:$G$761,0)),""))</f>
        <v/>
      </c>
      <c r="AE20" s="12">
        <f>IF(AE$6="","",IFERROR(INDEX('계산'!$E$12:$E$761,MATCH("25|14",'계산'!$G$12:$G$761,0)),""))</f>
        <v/>
      </c>
      <c r="AF20" s="12">
        <f>IF(AF$6="","",IFERROR(INDEX('계산'!$E$12:$E$761,MATCH("26|14",'계산'!$G$12:$G$761,0)),""))</f>
        <v/>
      </c>
      <c r="AG20" s="12">
        <f>IF(AG$6="","",IFERROR(INDEX('계산'!$E$12:$E$761,MATCH("27|14",'계산'!$G$12:$G$761,0)),""))</f>
        <v/>
      </c>
      <c r="AH20" s="12">
        <f>IF(AH$6="","",IFERROR(INDEX('계산'!$E$12:$E$761,MATCH("28|14",'계산'!$G$12:$G$761,0)),""))</f>
        <v/>
      </c>
      <c r="AI20" s="12">
        <f>IF(AI$6="","",IFERROR(INDEX('계산'!$E$12:$E$761,MATCH("29|14",'계산'!$G$12:$G$761,0)),""))</f>
        <v/>
      </c>
      <c r="AJ20" s="12">
        <f>IF(AJ$6="","",IFERROR(INDEX('계산'!$E$12:$E$761,MATCH("30|14",'계산'!$G$12:$G$761,0)),""))</f>
        <v/>
      </c>
    </row>
    <row r="21">
      <c r="A21" s="2" t="n"/>
      <c r="B21" s="13" t="inlineStr">
        <is>
          <t>+Tol(USL)</t>
        </is>
      </c>
      <c r="C21" s="7">
        <f>IF(AND(ISNUMBER('계산'!$AO$17),ISNUMBER(C19)),'계산'!$AO$17-C19,"")</f>
        <v/>
      </c>
      <c r="E21" s="11" t="n">
        <v>15</v>
      </c>
      <c r="F21" s="11" t="n"/>
      <c r="G21" s="12">
        <f>IF(G$6="","",IFERROR(INDEX('계산'!$E$12:$E$761,MATCH("1|15",'계산'!$G$12:$G$761,0)),""))</f>
        <v/>
      </c>
      <c r="H21" s="12">
        <f>IF(H$6="","",IFERROR(INDEX('계산'!$E$12:$E$761,MATCH("2|15",'계산'!$G$12:$G$761,0)),""))</f>
        <v/>
      </c>
      <c r="I21" s="12">
        <f>IF(I$6="","",IFERROR(INDEX('계산'!$E$12:$E$761,MATCH("3|15",'계산'!$G$12:$G$761,0)),""))</f>
        <v/>
      </c>
      <c r="J21" s="12">
        <f>IF(J$6="","",IFERROR(INDEX('계산'!$E$12:$E$761,MATCH("4|15",'계산'!$G$12:$G$761,0)),""))</f>
        <v/>
      </c>
      <c r="K21" s="12">
        <f>IF(K$6="","",IFERROR(INDEX('계산'!$E$12:$E$761,MATCH("5|15",'계산'!$G$12:$G$761,0)),""))</f>
        <v/>
      </c>
      <c r="L21" s="12">
        <f>IF(L$6="","",IFERROR(INDEX('계산'!$E$12:$E$761,MATCH("6|15",'계산'!$G$12:$G$761,0)),""))</f>
        <v/>
      </c>
      <c r="M21" s="12">
        <f>IF(M$6="","",IFERROR(INDEX('계산'!$E$12:$E$761,MATCH("7|15",'계산'!$G$12:$G$761,0)),""))</f>
        <v/>
      </c>
      <c r="N21" s="12">
        <f>IF(N$6="","",IFERROR(INDEX('계산'!$E$12:$E$761,MATCH("8|15",'계산'!$G$12:$G$761,0)),""))</f>
        <v/>
      </c>
      <c r="O21" s="12">
        <f>IF(O$6="","",IFERROR(INDEX('계산'!$E$12:$E$761,MATCH("9|15",'계산'!$G$12:$G$761,0)),""))</f>
        <v/>
      </c>
      <c r="P21" s="12">
        <f>IF(P$6="","",IFERROR(INDEX('계산'!$E$12:$E$761,MATCH("10|15",'계산'!$G$12:$G$761,0)),""))</f>
        <v/>
      </c>
      <c r="Q21" s="12">
        <f>IF(Q$6="","",IFERROR(INDEX('계산'!$E$12:$E$761,MATCH("11|15",'계산'!$G$12:$G$761,0)),""))</f>
        <v/>
      </c>
      <c r="R21" s="12">
        <f>IF(R$6="","",IFERROR(INDEX('계산'!$E$12:$E$761,MATCH("12|15",'계산'!$G$12:$G$761,0)),""))</f>
        <v/>
      </c>
      <c r="S21" s="12">
        <f>IF(S$6="","",IFERROR(INDEX('계산'!$E$12:$E$761,MATCH("13|15",'계산'!$G$12:$G$761,0)),""))</f>
        <v/>
      </c>
      <c r="T21" s="12">
        <f>IF(T$6="","",IFERROR(INDEX('계산'!$E$12:$E$761,MATCH("14|15",'계산'!$G$12:$G$761,0)),""))</f>
        <v/>
      </c>
      <c r="U21" s="12">
        <f>IF(U$6="","",IFERROR(INDEX('계산'!$E$12:$E$761,MATCH("15|15",'계산'!$G$12:$G$761,0)),""))</f>
        <v/>
      </c>
      <c r="V21" s="12">
        <f>IF(V$6="","",IFERROR(INDEX('계산'!$E$12:$E$761,MATCH("16|15",'계산'!$G$12:$G$761,0)),""))</f>
        <v/>
      </c>
      <c r="W21" s="12">
        <f>IF(W$6="","",IFERROR(INDEX('계산'!$E$12:$E$761,MATCH("17|15",'계산'!$G$12:$G$761,0)),""))</f>
        <v/>
      </c>
      <c r="X21" s="12">
        <f>IF(X$6="","",IFERROR(INDEX('계산'!$E$12:$E$761,MATCH("18|15",'계산'!$G$12:$G$761,0)),""))</f>
        <v/>
      </c>
      <c r="Y21" s="12">
        <f>IF(Y$6="","",IFERROR(INDEX('계산'!$E$12:$E$761,MATCH("19|15",'계산'!$G$12:$G$761,0)),""))</f>
        <v/>
      </c>
      <c r="Z21" s="12">
        <f>IF(Z$6="","",IFERROR(INDEX('계산'!$E$12:$E$761,MATCH("20|15",'계산'!$G$12:$G$761,0)),""))</f>
        <v/>
      </c>
      <c r="AA21" s="12">
        <f>IF(AA$6="","",IFERROR(INDEX('계산'!$E$12:$E$761,MATCH("21|15",'계산'!$G$12:$G$761,0)),""))</f>
        <v/>
      </c>
      <c r="AB21" s="12">
        <f>IF(AB$6="","",IFERROR(INDEX('계산'!$E$12:$E$761,MATCH("22|15",'계산'!$G$12:$G$761,0)),""))</f>
        <v/>
      </c>
      <c r="AC21" s="12">
        <f>IF(AC$6="","",IFERROR(INDEX('계산'!$E$12:$E$761,MATCH("23|15",'계산'!$G$12:$G$761,0)),""))</f>
        <v/>
      </c>
      <c r="AD21" s="12">
        <f>IF(AD$6="","",IFERROR(INDEX('계산'!$E$12:$E$761,MATCH("24|15",'계산'!$G$12:$G$761,0)),""))</f>
        <v/>
      </c>
      <c r="AE21" s="12">
        <f>IF(AE$6="","",IFERROR(INDEX('계산'!$E$12:$E$761,MATCH("25|15",'계산'!$G$12:$G$761,0)),""))</f>
        <v/>
      </c>
      <c r="AF21" s="12">
        <f>IF(AF$6="","",IFERROR(INDEX('계산'!$E$12:$E$761,MATCH("26|15",'계산'!$G$12:$G$761,0)),""))</f>
        <v/>
      </c>
      <c r="AG21" s="12">
        <f>IF(AG$6="","",IFERROR(INDEX('계산'!$E$12:$E$761,MATCH("27|15",'계산'!$G$12:$G$761,0)),""))</f>
        <v/>
      </c>
      <c r="AH21" s="12">
        <f>IF(AH$6="","",IFERROR(INDEX('계산'!$E$12:$E$761,MATCH("28|15",'계산'!$G$12:$G$761,0)),""))</f>
        <v/>
      </c>
      <c r="AI21" s="12">
        <f>IF(AI$6="","",IFERROR(INDEX('계산'!$E$12:$E$761,MATCH("29|15",'계산'!$G$12:$G$761,0)),""))</f>
        <v/>
      </c>
      <c r="AJ21" s="12">
        <f>IF(AJ$6="","",IFERROR(INDEX('계산'!$E$12:$E$761,MATCH("30|15",'계산'!$G$12:$G$761,0)),""))</f>
        <v/>
      </c>
    </row>
    <row r="22">
      <c r="A22" s="2" t="n"/>
      <c r="B22" s="13" t="n"/>
      <c r="C22" s="7" t="n"/>
      <c r="E22" s="11" t="n">
        <v>16</v>
      </c>
      <c r="F22" s="11" t="n"/>
      <c r="G22" s="12">
        <f>IF(G$6="","",IFERROR(INDEX('계산'!$E$12:$E$761,MATCH("1|16",'계산'!$G$12:$G$761,0)),""))</f>
        <v/>
      </c>
      <c r="H22" s="12">
        <f>IF(H$6="","",IFERROR(INDEX('계산'!$E$12:$E$761,MATCH("2|16",'계산'!$G$12:$G$761,0)),""))</f>
        <v/>
      </c>
      <c r="I22" s="12">
        <f>IF(I$6="","",IFERROR(INDEX('계산'!$E$12:$E$761,MATCH("3|16",'계산'!$G$12:$G$761,0)),""))</f>
        <v/>
      </c>
      <c r="J22" s="12">
        <f>IF(J$6="","",IFERROR(INDEX('계산'!$E$12:$E$761,MATCH("4|16",'계산'!$G$12:$G$761,0)),""))</f>
        <v/>
      </c>
      <c r="K22" s="12">
        <f>IF(K$6="","",IFERROR(INDEX('계산'!$E$12:$E$761,MATCH("5|16",'계산'!$G$12:$G$761,0)),""))</f>
        <v/>
      </c>
      <c r="L22" s="12">
        <f>IF(L$6="","",IFERROR(INDEX('계산'!$E$12:$E$761,MATCH("6|16",'계산'!$G$12:$G$761,0)),""))</f>
        <v/>
      </c>
      <c r="M22" s="12">
        <f>IF(M$6="","",IFERROR(INDEX('계산'!$E$12:$E$761,MATCH("7|16",'계산'!$G$12:$G$761,0)),""))</f>
        <v/>
      </c>
      <c r="N22" s="12">
        <f>IF(N$6="","",IFERROR(INDEX('계산'!$E$12:$E$761,MATCH("8|16",'계산'!$G$12:$G$761,0)),""))</f>
        <v/>
      </c>
      <c r="O22" s="12">
        <f>IF(O$6="","",IFERROR(INDEX('계산'!$E$12:$E$761,MATCH("9|16",'계산'!$G$12:$G$761,0)),""))</f>
        <v/>
      </c>
      <c r="P22" s="12">
        <f>IF(P$6="","",IFERROR(INDEX('계산'!$E$12:$E$761,MATCH("10|16",'계산'!$G$12:$G$761,0)),""))</f>
        <v/>
      </c>
      <c r="Q22" s="12">
        <f>IF(Q$6="","",IFERROR(INDEX('계산'!$E$12:$E$761,MATCH("11|16",'계산'!$G$12:$G$761,0)),""))</f>
        <v/>
      </c>
      <c r="R22" s="12">
        <f>IF(R$6="","",IFERROR(INDEX('계산'!$E$12:$E$761,MATCH("12|16",'계산'!$G$12:$G$761,0)),""))</f>
        <v/>
      </c>
      <c r="S22" s="12">
        <f>IF(S$6="","",IFERROR(INDEX('계산'!$E$12:$E$761,MATCH("13|16",'계산'!$G$12:$G$761,0)),""))</f>
        <v/>
      </c>
      <c r="T22" s="12">
        <f>IF(T$6="","",IFERROR(INDEX('계산'!$E$12:$E$761,MATCH("14|16",'계산'!$G$12:$G$761,0)),""))</f>
        <v/>
      </c>
      <c r="U22" s="12">
        <f>IF(U$6="","",IFERROR(INDEX('계산'!$E$12:$E$761,MATCH("15|16",'계산'!$G$12:$G$761,0)),""))</f>
        <v/>
      </c>
      <c r="V22" s="12">
        <f>IF(V$6="","",IFERROR(INDEX('계산'!$E$12:$E$761,MATCH("16|16",'계산'!$G$12:$G$761,0)),""))</f>
        <v/>
      </c>
      <c r="W22" s="12">
        <f>IF(W$6="","",IFERROR(INDEX('계산'!$E$12:$E$761,MATCH("17|16",'계산'!$G$12:$G$761,0)),""))</f>
        <v/>
      </c>
      <c r="X22" s="12">
        <f>IF(X$6="","",IFERROR(INDEX('계산'!$E$12:$E$761,MATCH("18|16",'계산'!$G$12:$G$761,0)),""))</f>
        <v/>
      </c>
      <c r="Y22" s="12">
        <f>IF(Y$6="","",IFERROR(INDEX('계산'!$E$12:$E$761,MATCH("19|16",'계산'!$G$12:$G$761,0)),""))</f>
        <v/>
      </c>
      <c r="Z22" s="12">
        <f>IF(Z$6="","",IFERROR(INDEX('계산'!$E$12:$E$761,MATCH("20|16",'계산'!$G$12:$G$761,0)),""))</f>
        <v/>
      </c>
      <c r="AA22" s="12">
        <f>IF(AA$6="","",IFERROR(INDEX('계산'!$E$12:$E$761,MATCH("21|16",'계산'!$G$12:$G$761,0)),""))</f>
        <v/>
      </c>
      <c r="AB22" s="12">
        <f>IF(AB$6="","",IFERROR(INDEX('계산'!$E$12:$E$761,MATCH("22|16",'계산'!$G$12:$G$761,0)),""))</f>
        <v/>
      </c>
      <c r="AC22" s="12">
        <f>IF(AC$6="","",IFERROR(INDEX('계산'!$E$12:$E$761,MATCH("23|16",'계산'!$G$12:$G$761,0)),""))</f>
        <v/>
      </c>
      <c r="AD22" s="12">
        <f>IF(AD$6="","",IFERROR(INDEX('계산'!$E$12:$E$761,MATCH("24|16",'계산'!$G$12:$G$761,0)),""))</f>
        <v/>
      </c>
      <c r="AE22" s="12">
        <f>IF(AE$6="","",IFERROR(INDEX('계산'!$E$12:$E$761,MATCH("25|16",'계산'!$G$12:$G$761,0)),""))</f>
        <v/>
      </c>
      <c r="AF22" s="12">
        <f>IF(AF$6="","",IFERROR(INDEX('계산'!$E$12:$E$761,MATCH("26|16",'계산'!$G$12:$G$761,0)),""))</f>
        <v/>
      </c>
      <c r="AG22" s="12">
        <f>IF(AG$6="","",IFERROR(INDEX('계산'!$E$12:$E$761,MATCH("27|16",'계산'!$G$12:$G$761,0)),""))</f>
        <v/>
      </c>
      <c r="AH22" s="12">
        <f>IF(AH$6="","",IFERROR(INDEX('계산'!$E$12:$E$761,MATCH("28|16",'계산'!$G$12:$G$761,0)),""))</f>
        <v/>
      </c>
      <c r="AI22" s="12">
        <f>IF(AI$6="","",IFERROR(INDEX('계산'!$E$12:$E$761,MATCH("29|16",'계산'!$G$12:$G$761,0)),""))</f>
        <v/>
      </c>
      <c r="AJ22" s="12">
        <f>IF(AJ$6="","",IFERROR(INDEX('계산'!$E$12:$E$761,MATCH("30|16",'계산'!$G$12:$G$761,0)),""))</f>
        <v/>
      </c>
    </row>
    <row r="23">
      <c r="A23" s="2" t="n"/>
      <c r="B23" s="13" t="inlineStr">
        <is>
          <t>-Tol(LSL)</t>
        </is>
      </c>
      <c r="C23" s="7">
        <f>IF(AND(ISNUMBER('계산'!$AO$15),ISNUMBER(C19)),C19-'계산'!$AO$15,"")</f>
        <v/>
      </c>
      <c r="E23" s="11" t="n">
        <v>17</v>
      </c>
      <c r="F23" s="11" t="n"/>
      <c r="G23" s="12">
        <f>IF(G$6="","",IFERROR(INDEX('계산'!$E$12:$E$761,MATCH("1|17",'계산'!$G$12:$G$761,0)),""))</f>
        <v/>
      </c>
      <c r="H23" s="12">
        <f>IF(H$6="","",IFERROR(INDEX('계산'!$E$12:$E$761,MATCH("2|17",'계산'!$G$12:$G$761,0)),""))</f>
        <v/>
      </c>
      <c r="I23" s="12">
        <f>IF(I$6="","",IFERROR(INDEX('계산'!$E$12:$E$761,MATCH("3|17",'계산'!$G$12:$G$761,0)),""))</f>
        <v/>
      </c>
      <c r="J23" s="12">
        <f>IF(J$6="","",IFERROR(INDEX('계산'!$E$12:$E$761,MATCH("4|17",'계산'!$G$12:$G$761,0)),""))</f>
        <v/>
      </c>
      <c r="K23" s="12">
        <f>IF(K$6="","",IFERROR(INDEX('계산'!$E$12:$E$761,MATCH("5|17",'계산'!$G$12:$G$761,0)),""))</f>
        <v/>
      </c>
      <c r="L23" s="12">
        <f>IF(L$6="","",IFERROR(INDEX('계산'!$E$12:$E$761,MATCH("6|17",'계산'!$G$12:$G$761,0)),""))</f>
        <v/>
      </c>
      <c r="M23" s="12">
        <f>IF(M$6="","",IFERROR(INDEX('계산'!$E$12:$E$761,MATCH("7|17",'계산'!$G$12:$G$761,0)),""))</f>
        <v/>
      </c>
      <c r="N23" s="12">
        <f>IF(N$6="","",IFERROR(INDEX('계산'!$E$12:$E$761,MATCH("8|17",'계산'!$G$12:$G$761,0)),""))</f>
        <v/>
      </c>
      <c r="O23" s="12">
        <f>IF(O$6="","",IFERROR(INDEX('계산'!$E$12:$E$761,MATCH("9|17",'계산'!$G$12:$G$761,0)),""))</f>
        <v/>
      </c>
      <c r="P23" s="12">
        <f>IF(P$6="","",IFERROR(INDEX('계산'!$E$12:$E$761,MATCH("10|17",'계산'!$G$12:$G$761,0)),""))</f>
        <v/>
      </c>
      <c r="Q23" s="12">
        <f>IF(Q$6="","",IFERROR(INDEX('계산'!$E$12:$E$761,MATCH("11|17",'계산'!$G$12:$G$761,0)),""))</f>
        <v/>
      </c>
      <c r="R23" s="12">
        <f>IF(R$6="","",IFERROR(INDEX('계산'!$E$12:$E$761,MATCH("12|17",'계산'!$G$12:$G$761,0)),""))</f>
        <v/>
      </c>
      <c r="S23" s="12">
        <f>IF(S$6="","",IFERROR(INDEX('계산'!$E$12:$E$761,MATCH("13|17",'계산'!$G$12:$G$761,0)),""))</f>
        <v/>
      </c>
      <c r="T23" s="12">
        <f>IF(T$6="","",IFERROR(INDEX('계산'!$E$12:$E$761,MATCH("14|17",'계산'!$G$12:$G$761,0)),""))</f>
        <v/>
      </c>
      <c r="U23" s="12">
        <f>IF(U$6="","",IFERROR(INDEX('계산'!$E$12:$E$761,MATCH("15|17",'계산'!$G$12:$G$761,0)),""))</f>
        <v/>
      </c>
      <c r="V23" s="12">
        <f>IF(V$6="","",IFERROR(INDEX('계산'!$E$12:$E$761,MATCH("16|17",'계산'!$G$12:$G$761,0)),""))</f>
        <v/>
      </c>
      <c r="W23" s="12">
        <f>IF(W$6="","",IFERROR(INDEX('계산'!$E$12:$E$761,MATCH("17|17",'계산'!$G$12:$G$761,0)),""))</f>
        <v/>
      </c>
      <c r="X23" s="12">
        <f>IF(X$6="","",IFERROR(INDEX('계산'!$E$12:$E$761,MATCH("18|17",'계산'!$G$12:$G$761,0)),""))</f>
        <v/>
      </c>
      <c r="Y23" s="12">
        <f>IF(Y$6="","",IFERROR(INDEX('계산'!$E$12:$E$761,MATCH("19|17",'계산'!$G$12:$G$761,0)),""))</f>
        <v/>
      </c>
      <c r="Z23" s="12">
        <f>IF(Z$6="","",IFERROR(INDEX('계산'!$E$12:$E$761,MATCH("20|17",'계산'!$G$12:$G$761,0)),""))</f>
        <v/>
      </c>
      <c r="AA23" s="12">
        <f>IF(AA$6="","",IFERROR(INDEX('계산'!$E$12:$E$761,MATCH("21|17",'계산'!$G$12:$G$761,0)),""))</f>
        <v/>
      </c>
      <c r="AB23" s="12">
        <f>IF(AB$6="","",IFERROR(INDEX('계산'!$E$12:$E$761,MATCH("22|17",'계산'!$G$12:$G$761,0)),""))</f>
        <v/>
      </c>
      <c r="AC23" s="12">
        <f>IF(AC$6="","",IFERROR(INDEX('계산'!$E$12:$E$761,MATCH("23|17",'계산'!$G$12:$G$761,0)),""))</f>
        <v/>
      </c>
      <c r="AD23" s="12">
        <f>IF(AD$6="","",IFERROR(INDEX('계산'!$E$12:$E$761,MATCH("24|17",'계산'!$G$12:$G$761,0)),""))</f>
        <v/>
      </c>
      <c r="AE23" s="12">
        <f>IF(AE$6="","",IFERROR(INDEX('계산'!$E$12:$E$761,MATCH("25|17",'계산'!$G$12:$G$761,0)),""))</f>
        <v/>
      </c>
      <c r="AF23" s="12">
        <f>IF(AF$6="","",IFERROR(INDEX('계산'!$E$12:$E$761,MATCH("26|17",'계산'!$G$12:$G$761,0)),""))</f>
        <v/>
      </c>
      <c r="AG23" s="12">
        <f>IF(AG$6="","",IFERROR(INDEX('계산'!$E$12:$E$761,MATCH("27|17",'계산'!$G$12:$G$761,0)),""))</f>
        <v/>
      </c>
      <c r="AH23" s="12">
        <f>IF(AH$6="","",IFERROR(INDEX('계산'!$E$12:$E$761,MATCH("28|17",'계산'!$G$12:$G$761,0)),""))</f>
        <v/>
      </c>
      <c r="AI23" s="12">
        <f>IF(AI$6="","",IFERROR(INDEX('계산'!$E$12:$E$761,MATCH("29|17",'계산'!$G$12:$G$761,0)),""))</f>
        <v/>
      </c>
      <c r="AJ23" s="12">
        <f>IF(AJ$6="","",IFERROR(INDEX('계산'!$E$12:$E$761,MATCH("30|17",'계산'!$G$12:$G$761,0)),""))</f>
        <v/>
      </c>
    </row>
    <row r="24">
      <c r="A24" s="2" t="n"/>
      <c r="B24" s="13" t="n"/>
      <c r="C24" s="7" t="n"/>
      <c r="E24" s="11" t="n">
        <v>18</v>
      </c>
      <c r="F24" s="11" t="n"/>
      <c r="G24" s="12">
        <f>IF(G$6="","",IFERROR(INDEX('계산'!$E$12:$E$761,MATCH("1|18",'계산'!$G$12:$G$761,0)),""))</f>
        <v/>
      </c>
      <c r="H24" s="12">
        <f>IF(H$6="","",IFERROR(INDEX('계산'!$E$12:$E$761,MATCH("2|18",'계산'!$G$12:$G$761,0)),""))</f>
        <v/>
      </c>
      <c r="I24" s="12">
        <f>IF(I$6="","",IFERROR(INDEX('계산'!$E$12:$E$761,MATCH("3|18",'계산'!$G$12:$G$761,0)),""))</f>
        <v/>
      </c>
      <c r="J24" s="12">
        <f>IF(J$6="","",IFERROR(INDEX('계산'!$E$12:$E$761,MATCH("4|18",'계산'!$G$12:$G$761,0)),""))</f>
        <v/>
      </c>
      <c r="K24" s="12">
        <f>IF(K$6="","",IFERROR(INDEX('계산'!$E$12:$E$761,MATCH("5|18",'계산'!$G$12:$G$761,0)),""))</f>
        <v/>
      </c>
      <c r="L24" s="12">
        <f>IF(L$6="","",IFERROR(INDEX('계산'!$E$12:$E$761,MATCH("6|18",'계산'!$G$12:$G$761,0)),""))</f>
        <v/>
      </c>
      <c r="M24" s="12">
        <f>IF(M$6="","",IFERROR(INDEX('계산'!$E$12:$E$761,MATCH("7|18",'계산'!$G$12:$G$761,0)),""))</f>
        <v/>
      </c>
      <c r="N24" s="12">
        <f>IF(N$6="","",IFERROR(INDEX('계산'!$E$12:$E$761,MATCH("8|18",'계산'!$G$12:$G$761,0)),""))</f>
        <v/>
      </c>
      <c r="O24" s="12">
        <f>IF(O$6="","",IFERROR(INDEX('계산'!$E$12:$E$761,MATCH("9|18",'계산'!$G$12:$G$761,0)),""))</f>
        <v/>
      </c>
      <c r="P24" s="12">
        <f>IF(P$6="","",IFERROR(INDEX('계산'!$E$12:$E$761,MATCH("10|18",'계산'!$G$12:$G$761,0)),""))</f>
        <v/>
      </c>
      <c r="Q24" s="12">
        <f>IF(Q$6="","",IFERROR(INDEX('계산'!$E$12:$E$761,MATCH("11|18",'계산'!$G$12:$G$761,0)),""))</f>
        <v/>
      </c>
      <c r="R24" s="12">
        <f>IF(R$6="","",IFERROR(INDEX('계산'!$E$12:$E$761,MATCH("12|18",'계산'!$G$12:$G$761,0)),""))</f>
        <v/>
      </c>
      <c r="S24" s="12">
        <f>IF(S$6="","",IFERROR(INDEX('계산'!$E$12:$E$761,MATCH("13|18",'계산'!$G$12:$G$761,0)),""))</f>
        <v/>
      </c>
      <c r="T24" s="12">
        <f>IF(T$6="","",IFERROR(INDEX('계산'!$E$12:$E$761,MATCH("14|18",'계산'!$G$12:$G$761,0)),""))</f>
        <v/>
      </c>
      <c r="U24" s="12">
        <f>IF(U$6="","",IFERROR(INDEX('계산'!$E$12:$E$761,MATCH("15|18",'계산'!$G$12:$G$761,0)),""))</f>
        <v/>
      </c>
      <c r="V24" s="12">
        <f>IF(V$6="","",IFERROR(INDEX('계산'!$E$12:$E$761,MATCH("16|18",'계산'!$G$12:$G$761,0)),""))</f>
        <v/>
      </c>
      <c r="W24" s="12">
        <f>IF(W$6="","",IFERROR(INDEX('계산'!$E$12:$E$761,MATCH("17|18",'계산'!$G$12:$G$761,0)),""))</f>
        <v/>
      </c>
      <c r="X24" s="12">
        <f>IF(X$6="","",IFERROR(INDEX('계산'!$E$12:$E$761,MATCH("18|18",'계산'!$G$12:$G$761,0)),""))</f>
        <v/>
      </c>
      <c r="Y24" s="12">
        <f>IF(Y$6="","",IFERROR(INDEX('계산'!$E$12:$E$761,MATCH("19|18",'계산'!$G$12:$G$761,0)),""))</f>
        <v/>
      </c>
      <c r="Z24" s="12">
        <f>IF(Z$6="","",IFERROR(INDEX('계산'!$E$12:$E$761,MATCH("20|18",'계산'!$G$12:$G$761,0)),""))</f>
        <v/>
      </c>
      <c r="AA24" s="12">
        <f>IF(AA$6="","",IFERROR(INDEX('계산'!$E$12:$E$761,MATCH("21|18",'계산'!$G$12:$G$761,0)),""))</f>
        <v/>
      </c>
      <c r="AB24" s="12">
        <f>IF(AB$6="","",IFERROR(INDEX('계산'!$E$12:$E$761,MATCH("22|18",'계산'!$G$12:$G$761,0)),""))</f>
        <v/>
      </c>
      <c r="AC24" s="12">
        <f>IF(AC$6="","",IFERROR(INDEX('계산'!$E$12:$E$761,MATCH("23|18",'계산'!$G$12:$G$761,0)),""))</f>
        <v/>
      </c>
      <c r="AD24" s="12">
        <f>IF(AD$6="","",IFERROR(INDEX('계산'!$E$12:$E$761,MATCH("24|18",'계산'!$G$12:$G$761,0)),""))</f>
        <v/>
      </c>
      <c r="AE24" s="12">
        <f>IF(AE$6="","",IFERROR(INDEX('계산'!$E$12:$E$761,MATCH("25|18",'계산'!$G$12:$G$761,0)),""))</f>
        <v/>
      </c>
      <c r="AF24" s="12">
        <f>IF(AF$6="","",IFERROR(INDEX('계산'!$E$12:$E$761,MATCH("26|18",'계산'!$G$12:$G$761,0)),""))</f>
        <v/>
      </c>
      <c r="AG24" s="12">
        <f>IF(AG$6="","",IFERROR(INDEX('계산'!$E$12:$E$761,MATCH("27|18",'계산'!$G$12:$G$761,0)),""))</f>
        <v/>
      </c>
      <c r="AH24" s="12">
        <f>IF(AH$6="","",IFERROR(INDEX('계산'!$E$12:$E$761,MATCH("28|18",'계산'!$G$12:$G$761,0)),""))</f>
        <v/>
      </c>
      <c r="AI24" s="12">
        <f>IF(AI$6="","",IFERROR(INDEX('계산'!$E$12:$E$761,MATCH("29|18",'계산'!$G$12:$G$761,0)),""))</f>
        <v/>
      </c>
      <c r="AJ24" s="12">
        <f>IF(AJ$6="","",IFERROR(INDEX('계산'!$E$12:$E$761,MATCH("30|18",'계산'!$G$12:$G$761,0)),""))</f>
        <v/>
      </c>
    </row>
    <row r="25">
      <c r="A25" s="2" t="n"/>
      <c r="B25" s="13" t="inlineStr">
        <is>
          <t>종  류</t>
        </is>
      </c>
      <c r="C25" s="7">
        <f>IF(AND(ISNUMBER('계산'!$AO$15),ISNUMBER('계산'!$AO$17)),"양쪽규격",IF(OR(ISNUMBER('계산'!$AO$15),ISNUMBER('계산'!$AO$17)),"한쪽규격",""))</f>
        <v/>
      </c>
      <c r="E25" s="11" t="n">
        <v>19</v>
      </c>
      <c r="F25" s="11" t="n"/>
      <c r="G25" s="12">
        <f>IF(G$6="","",IFERROR(INDEX('계산'!$E$12:$E$761,MATCH("1|19",'계산'!$G$12:$G$761,0)),""))</f>
        <v/>
      </c>
      <c r="H25" s="12">
        <f>IF(H$6="","",IFERROR(INDEX('계산'!$E$12:$E$761,MATCH("2|19",'계산'!$G$12:$G$761,0)),""))</f>
        <v/>
      </c>
      <c r="I25" s="12">
        <f>IF(I$6="","",IFERROR(INDEX('계산'!$E$12:$E$761,MATCH("3|19",'계산'!$G$12:$G$761,0)),""))</f>
        <v/>
      </c>
      <c r="J25" s="12">
        <f>IF(J$6="","",IFERROR(INDEX('계산'!$E$12:$E$761,MATCH("4|19",'계산'!$G$12:$G$761,0)),""))</f>
        <v/>
      </c>
      <c r="K25" s="12">
        <f>IF(K$6="","",IFERROR(INDEX('계산'!$E$12:$E$761,MATCH("5|19",'계산'!$G$12:$G$761,0)),""))</f>
        <v/>
      </c>
      <c r="L25" s="12">
        <f>IF(L$6="","",IFERROR(INDEX('계산'!$E$12:$E$761,MATCH("6|19",'계산'!$G$12:$G$761,0)),""))</f>
        <v/>
      </c>
      <c r="M25" s="12">
        <f>IF(M$6="","",IFERROR(INDEX('계산'!$E$12:$E$761,MATCH("7|19",'계산'!$G$12:$G$761,0)),""))</f>
        <v/>
      </c>
      <c r="N25" s="12">
        <f>IF(N$6="","",IFERROR(INDEX('계산'!$E$12:$E$761,MATCH("8|19",'계산'!$G$12:$G$761,0)),""))</f>
        <v/>
      </c>
      <c r="O25" s="12">
        <f>IF(O$6="","",IFERROR(INDEX('계산'!$E$12:$E$761,MATCH("9|19",'계산'!$G$12:$G$761,0)),""))</f>
        <v/>
      </c>
      <c r="P25" s="12">
        <f>IF(P$6="","",IFERROR(INDEX('계산'!$E$12:$E$761,MATCH("10|19",'계산'!$G$12:$G$761,0)),""))</f>
        <v/>
      </c>
      <c r="Q25" s="12">
        <f>IF(Q$6="","",IFERROR(INDEX('계산'!$E$12:$E$761,MATCH("11|19",'계산'!$G$12:$G$761,0)),""))</f>
        <v/>
      </c>
      <c r="R25" s="12">
        <f>IF(R$6="","",IFERROR(INDEX('계산'!$E$12:$E$761,MATCH("12|19",'계산'!$G$12:$G$761,0)),""))</f>
        <v/>
      </c>
      <c r="S25" s="12">
        <f>IF(S$6="","",IFERROR(INDEX('계산'!$E$12:$E$761,MATCH("13|19",'계산'!$G$12:$G$761,0)),""))</f>
        <v/>
      </c>
      <c r="T25" s="12">
        <f>IF(T$6="","",IFERROR(INDEX('계산'!$E$12:$E$761,MATCH("14|19",'계산'!$G$12:$G$761,0)),""))</f>
        <v/>
      </c>
      <c r="U25" s="12">
        <f>IF(U$6="","",IFERROR(INDEX('계산'!$E$12:$E$761,MATCH("15|19",'계산'!$G$12:$G$761,0)),""))</f>
        <v/>
      </c>
      <c r="V25" s="12">
        <f>IF(V$6="","",IFERROR(INDEX('계산'!$E$12:$E$761,MATCH("16|19",'계산'!$G$12:$G$761,0)),""))</f>
        <v/>
      </c>
      <c r="W25" s="12">
        <f>IF(W$6="","",IFERROR(INDEX('계산'!$E$12:$E$761,MATCH("17|19",'계산'!$G$12:$G$761,0)),""))</f>
        <v/>
      </c>
      <c r="X25" s="12">
        <f>IF(X$6="","",IFERROR(INDEX('계산'!$E$12:$E$761,MATCH("18|19",'계산'!$G$12:$G$761,0)),""))</f>
        <v/>
      </c>
      <c r="Y25" s="12">
        <f>IF(Y$6="","",IFERROR(INDEX('계산'!$E$12:$E$761,MATCH("19|19",'계산'!$G$12:$G$761,0)),""))</f>
        <v/>
      </c>
      <c r="Z25" s="12">
        <f>IF(Z$6="","",IFERROR(INDEX('계산'!$E$12:$E$761,MATCH("20|19",'계산'!$G$12:$G$761,0)),""))</f>
        <v/>
      </c>
      <c r="AA25" s="12">
        <f>IF(AA$6="","",IFERROR(INDEX('계산'!$E$12:$E$761,MATCH("21|19",'계산'!$G$12:$G$761,0)),""))</f>
        <v/>
      </c>
      <c r="AB25" s="12">
        <f>IF(AB$6="","",IFERROR(INDEX('계산'!$E$12:$E$761,MATCH("22|19",'계산'!$G$12:$G$761,0)),""))</f>
        <v/>
      </c>
      <c r="AC25" s="12">
        <f>IF(AC$6="","",IFERROR(INDEX('계산'!$E$12:$E$761,MATCH("23|19",'계산'!$G$12:$G$761,0)),""))</f>
        <v/>
      </c>
      <c r="AD25" s="12">
        <f>IF(AD$6="","",IFERROR(INDEX('계산'!$E$12:$E$761,MATCH("24|19",'계산'!$G$12:$G$761,0)),""))</f>
        <v/>
      </c>
      <c r="AE25" s="12">
        <f>IF(AE$6="","",IFERROR(INDEX('계산'!$E$12:$E$761,MATCH("25|19",'계산'!$G$12:$G$761,0)),""))</f>
        <v/>
      </c>
      <c r="AF25" s="12">
        <f>IF(AF$6="","",IFERROR(INDEX('계산'!$E$12:$E$761,MATCH("26|19",'계산'!$G$12:$G$761,0)),""))</f>
        <v/>
      </c>
      <c r="AG25" s="12">
        <f>IF(AG$6="","",IFERROR(INDEX('계산'!$E$12:$E$761,MATCH("27|19",'계산'!$G$12:$G$761,0)),""))</f>
        <v/>
      </c>
      <c r="AH25" s="12">
        <f>IF(AH$6="","",IFERROR(INDEX('계산'!$E$12:$E$761,MATCH("28|19",'계산'!$G$12:$G$761,0)),""))</f>
        <v/>
      </c>
      <c r="AI25" s="12">
        <f>IF(AI$6="","",IFERROR(INDEX('계산'!$E$12:$E$761,MATCH("29|19",'계산'!$G$12:$G$761,0)),""))</f>
        <v/>
      </c>
      <c r="AJ25" s="12">
        <f>IF(AJ$6="","",IFERROR(INDEX('계산'!$E$12:$E$761,MATCH("30|19",'계산'!$G$12:$G$761,0)),""))</f>
        <v/>
      </c>
    </row>
    <row r="26">
      <c r="A26" s="2" t="n"/>
      <c r="B26" s="13" t="n"/>
      <c r="C26" s="7" t="n"/>
      <c r="E26" s="11" t="n">
        <v>20</v>
      </c>
      <c r="F26" s="11" t="n"/>
      <c r="G26" s="12">
        <f>IF(G$6="","",IFERROR(INDEX('계산'!$E$12:$E$761,MATCH("1|20",'계산'!$G$12:$G$761,0)),""))</f>
        <v/>
      </c>
      <c r="H26" s="12">
        <f>IF(H$6="","",IFERROR(INDEX('계산'!$E$12:$E$761,MATCH("2|20",'계산'!$G$12:$G$761,0)),""))</f>
        <v/>
      </c>
      <c r="I26" s="12">
        <f>IF(I$6="","",IFERROR(INDEX('계산'!$E$12:$E$761,MATCH("3|20",'계산'!$G$12:$G$761,0)),""))</f>
        <v/>
      </c>
      <c r="J26" s="12">
        <f>IF(J$6="","",IFERROR(INDEX('계산'!$E$12:$E$761,MATCH("4|20",'계산'!$G$12:$G$761,0)),""))</f>
        <v/>
      </c>
      <c r="K26" s="12">
        <f>IF(K$6="","",IFERROR(INDEX('계산'!$E$12:$E$761,MATCH("5|20",'계산'!$G$12:$G$761,0)),""))</f>
        <v/>
      </c>
      <c r="L26" s="12">
        <f>IF(L$6="","",IFERROR(INDEX('계산'!$E$12:$E$761,MATCH("6|20",'계산'!$G$12:$G$761,0)),""))</f>
        <v/>
      </c>
      <c r="M26" s="12">
        <f>IF(M$6="","",IFERROR(INDEX('계산'!$E$12:$E$761,MATCH("7|20",'계산'!$G$12:$G$761,0)),""))</f>
        <v/>
      </c>
      <c r="N26" s="12">
        <f>IF(N$6="","",IFERROR(INDEX('계산'!$E$12:$E$761,MATCH("8|20",'계산'!$G$12:$G$761,0)),""))</f>
        <v/>
      </c>
      <c r="O26" s="12">
        <f>IF(O$6="","",IFERROR(INDEX('계산'!$E$12:$E$761,MATCH("9|20",'계산'!$G$12:$G$761,0)),""))</f>
        <v/>
      </c>
      <c r="P26" s="12">
        <f>IF(P$6="","",IFERROR(INDEX('계산'!$E$12:$E$761,MATCH("10|20",'계산'!$G$12:$G$761,0)),""))</f>
        <v/>
      </c>
      <c r="Q26" s="12">
        <f>IF(Q$6="","",IFERROR(INDEX('계산'!$E$12:$E$761,MATCH("11|20",'계산'!$G$12:$G$761,0)),""))</f>
        <v/>
      </c>
      <c r="R26" s="12">
        <f>IF(R$6="","",IFERROR(INDEX('계산'!$E$12:$E$761,MATCH("12|20",'계산'!$G$12:$G$761,0)),""))</f>
        <v/>
      </c>
      <c r="S26" s="12">
        <f>IF(S$6="","",IFERROR(INDEX('계산'!$E$12:$E$761,MATCH("13|20",'계산'!$G$12:$G$761,0)),""))</f>
        <v/>
      </c>
      <c r="T26" s="12">
        <f>IF(T$6="","",IFERROR(INDEX('계산'!$E$12:$E$761,MATCH("14|20",'계산'!$G$12:$G$761,0)),""))</f>
        <v/>
      </c>
      <c r="U26" s="12">
        <f>IF(U$6="","",IFERROR(INDEX('계산'!$E$12:$E$761,MATCH("15|20",'계산'!$G$12:$G$761,0)),""))</f>
        <v/>
      </c>
      <c r="V26" s="12">
        <f>IF(V$6="","",IFERROR(INDEX('계산'!$E$12:$E$761,MATCH("16|20",'계산'!$G$12:$G$761,0)),""))</f>
        <v/>
      </c>
      <c r="W26" s="12">
        <f>IF(W$6="","",IFERROR(INDEX('계산'!$E$12:$E$761,MATCH("17|20",'계산'!$G$12:$G$761,0)),""))</f>
        <v/>
      </c>
      <c r="X26" s="12">
        <f>IF(X$6="","",IFERROR(INDEX('계산'!$E$12:$E$761,MATCH("18|20",'계산'!$G$12:$G$761,0)),""))</f>
        <v/>
      </c>
      <c r="Y26" s="12">
        <f>IF(Y$6="","",IFERROR(INDEX('계산'!$E$12:$E$761,MATCH("19|20",'계산'!$G$12:$G$761,0)),""))</f>
        <v/>
      </c>
      <c r="Z26" s="12">
        <f>IF(Z$6="","",IFERROR(INDEX('계산'!$E$12:$E$761,MATCH("20|20",'계산'!$G$12:$G$761,0)),""))</f>
        <v/>
      </c>
      <c r="AA26" s="12">
        <f>IF(AA$6="","",IFERROR(INDEX('계산'!$E$12:$E$761,MATCH("21|20",'계산'!$G$12:$G$761,0)),""))</f>
        <v/>
      </c>
      <c r="AB26" s="12">
        <f>IF(AB$6="","",IFERROR(INDEX('계산'!$E$12:$E$761,MATCH("22|20",'계산'!$G$12:$G$761,0)),""))</f>
        <v/>
      </c>
      <c r="AC26" s="12">
        <f>IF(AC$6="","",IFERROR(INDEX('계산'!$E$12:$E$761,MATCH("23|20",'계산'!$G$12:$G$761,0)),""))</f>
        <v/>
      </c>
      <c r="AD26" s="12">
        <f>IF(AD$6="","",IFERROR(INDEX('계산'!$E$12:$E$761,MATCH("24|20",'계산'!$G$12:$G$761,0)),""))</f>
        <v/>
      </c>
      <c r="AE26" s="12">
        <f>IF(AE$6="","",IFERROR(INDEX('계산'!$E$12:$E$761,MATCH("25|20",'계산'!$G$12:$G$761,0)),""))</f>
        <v/>
      </c>
      <c r="AF26" s="12">
        <f>IF(AF$6="","",IFERROR(INDEX('계산'!$E$12:$E$761,MATCH("26|20",'계산'!$G$12:$G$761,0)),""))</f>
        <v/>
      </c>
      <c r="AG26" s="12">
        <f>IF(AG$6="","",IFERROR(INDEX('계산'!$E$12:$E$761,MATCH("27|20",'계산'!$G$12:$G$761,0)),""))</f>
        <v/>
      </c>
      <c r="AH26" s="12">
        <f>IF(AH$6="","",IFERROR(INDEX('계산'!$E$12:$E$761,MATCH("28|20",'계산'!$G$12:$G$761,0)),""))</f>
        <v/>
      </c>
      <c r="AI26" s="12">
        <f>IF(AI$6="","",IFERROR(INDEX('계산'!$E$12:$E$761,MATCH("29|20",'계산'!$G$12:$G$761,0)),""))</f>
        <v/>
      </c>
      <c r="AJ26" s="12">
        <f>IF(AJ$6="","",IFERROR(INDEX('계산'!$E$12:$E$761,MATCH("30|20",'계산'!$G$12:$G$761,0)),""))</f>
        <v/>
      </c>
    </row>
    <row r="27">
      <c r="E27" s="10" t="inlineStr">
        <is>
          <t>평균(X)</t>
        </is>
      </c>
      <c r="F27" s="10" t="n"/>
      <c r="G27" s="14">
        <f>IF(G$6="","",'계산'!$M$2)</f>
        <v/>
      </c>
      <c r="H27" s="14">
        <f>IF(H$6="","",'계산'!$M$3)</f>
        <v/>
      </c>
      <c r="I27" s="14">
        <f>IF(I$6="","",'계산'!$M$4)</f>
        <v/>
      </c>
      <c r="J27" s="14">
        <f>IF(J$6="","",'계산'!$M$5)</f>
        <v/>
      </c>
      <c r="K27" s="14">
        <f>IF(K$6="","",'계산'!$M$6)</f>
        <v/>
      </c>
      <c r="L27" s="14">
        <f>IF(L$6="","",'계산'!$M$7)</f>
        <v/>
      </c>
      <c r="M27" s="14">
        <f>IF(M$6="","",'계산'!$M$8)</f>
        <v/>
      </c>
      <c r="N27" s="14">
        <f>IF(N$6="","",'계산'!$M$9)</f>
        <v/>
      </c>
      <c r="O27" s="14">
        <f>IF(O$6="","",'계산'!$M$10)</f>
        <v/>
      </c>
      <c r="P27" s="14">
        <f>IF(P$6="","",'계산'!$M$11)</f>
        <v/>
      </c>
      <c r="Q27" s="14">
        <f>IF(Q$6="","",'계산'!$M$12)</f>
        <v/>
      </c>
      <c r="R27" s="14">
        <f>IF(R$6="","",'계산'!$M$13)</f>
        <v/>
      </c>
      <c r="S27" s="14">
        <f>IF(S$6="","",'계산'!$M$14)</f>
        <v/>
      </c>
      <c r="T27" s="14">
        <f>IF(T$6="","",'계산'!$M$15)</f>
        <v/>
      </c>
      <c r="U27" s="14">
        <f>IF(U$6="","",'계산'!$M$16)</f>
        <v/>
      </c>
      <c r="V27" s="14">
        <f>IF(V$6="","",'계산'!$M$17)</f>
        <v/>
      </c>
      <c r="W27" s="14">
        <f>IF(W$6="","",'계산'!$M$18)</f>
        <v/>
      </c>
      <c r="X27" s="14">
        <f>IF(X$6="","",'계산'!$M$19)</f>
        <v/>
      </c>
      <c r="Y27" s="14">
        <f>IF(Y$6="","",'계산'!$M$20)</f>
        <v/>
      </c>
      <c r="Z27" s="14">
        <f>IF(Z$6="","",'계산'!$M$21)</f>
        <v/>
      </c>
      <c r="AA27" s="14">
        <f>IF(AA$6="","",'계산'!$M$22)</f>
        <v/>
      </c>
      <c r="AB27" s="14">
        <f>IF(AB$6="","",'계산'!$M$23)</f>
        <v/>
      </c>
      <c r="AC27" s="14">
        <f>IF(AC$6="","",'계산'!$M$24)</f>
        <v/>
      </c>
      <c r="AD27" s="14">
        <f>IF(AD$6="","",'계산'!$M$25)</f>
        <v/>
      </c>
      <c r="AE27" s="14">
        <f>IF(AE$6="","",'계산'!$M$26)</f>
        <v/>
      </c>
      <c r="AF27" s="14">
        <f>IF(AF$6="","",'계산'!$M$27)</f>
        <v/>
      </c>
      <c r="AG27" s="14">
        <f>IF(AG$6="","",'계산'!$M$28)</f>
        <v/>
      </c>
      <c r="AH27" s="14">
        <f>IF(AH$6="","",'계산'!$M$29)</f>
        <v/>
      </c>
      <c r="AI27" s="14">
        <f>IF(AI$6="","",'계산'!$M$30)</f>
        <v/>
      </c>
      <c r="AJ27" s="14">
        <f>IF(AJ$6="","",'계산'!$M$31)</f>
        <v/>
      </c>
    </row>
    <row r="28">
      <c r="E28" s="10" t="inlineStr">
        <is>
          <t>범위(R)</t>
        </is>
      </c>
      <c r="F28" s="10" t="n"/>
      <c r="G28" s="15">
        <f>IF(G$6="","",'계산'!$N$2)</f>
        <v/>
      </c>
      <c r="H28" s="15">
        <f>IF(H$6="","",'계산'!$N$3)</f>
        <v/>
      </c>
      <c r="I28" s="15">
        <f>IF(I$6="","",'계산'!$N$4)</f>
        <v/>
      </c>
      <c r="J28" s="15">
        <f>IF(J$6="","",'계산'!$N$5)</f>
        <v/>
      </c>
      <c r="K28" s="15">
        <f>IF(K$6="","",'계산'!$N$6)</f>
        <v/>
      </c>
      <c r="L28" s="15">
        <f>IF(L$6="","",'계산'!$N$7)</f>
        <v/>
      </c>
      <c r="M28" s="15">
        <f>IF(M$6="","",'계산'!$N$8)</f>
        <v/>
      </c>
      <c r="N28" s="15">
        <f>IF(N$6="","",'계산'!$N$9)</f>
        <v/>
      </c>
      <c r="O28" s="15">
        <f>IF(O$6="","",'계산'!$N$10)</f>
        <v/>
      </c>
      <c r="P28" s="15">
        <f>IF(P$6="","",'계산'!$N$11)</f>
        <v/>
      </c>
      <c r="Q28" s="15">
        <f>IF(Q$6="","",'계산'!$N$12)</f>
        <v/>
      </c>
      <c r="R28" s="15">
        <f>IF(R$6="","",'계산'!$N$13)</f>
        <v/>
      </c>
      <c r="S28" s="15">
        <f>IF(S$6="","",'계산'!$N$14)</f>
        <v/>
      </c>
      <c r="T28" s="15">
        <f>IF(T$6="","",'계산'!$N$15)</f>
        <v/>
      </c>
      <c r="U28" s="15">
        <f>IF(U$6="","",'계산'!$N$16)</f>
        <v/>
      </c>
      <c r="V28" s="15">
        <f>IF(V$6="","",'계산'!$N$17)</f>
        <v/>
      </c>
      <c r="W28" s="15">
        <f>IF(W$6="","",'계산'!$N$18)</f>
        <v/>
      </c>
      <c r="X28" s="15">
        <f>IF(X$6="","",'계산'!$N$19)</f>
        <v/>
      </c>
      <c r="Y28" s="15">
        <f>IF(Y$6="","",'계산'!$N$20)</f>
        <v/>
      </c>
      <c r="Z28" s="15">
        <f>IF(Z$6="","",'계산'!$N$21)</f>
        <v/>
      </c>
      <c r="AA28" s="15">
        <f>IF(AA$6="","",'계산'!$N$22)</f>
        <v/>
      </c>
      <c r="AB28" s="15">
        <f>IF(AB$6="","",'계산'!$N$23)</f>
        <v/>
      </c>
      <c r="AC28" s="15">
        <f>IF(AC$6="","",'계산'!$N$24)</f>
        <v/>
      </c>
      <c r="AD28" s="15">
        <f>IF(AD$6="","",'계산'!$N$25)</f>
        <v/>
      </c>
      <c r="AE28" s="15">
        <f>IF(AE$6="","",'계산'!$N$26)</f>
        <v/>
      </c>
      <c r="AF28" s="15">
        <f>IF(AF$6="","",'계산'!$N$27)</f>
        <v/>
      </c>
      <c r="AG28" s="15">
        <f>IF(AG$6="","",'계산'!$N$28)</f>
        <v/>
      </c>
      <c r="AH28" s="15">
        <f>IF(AH$6="","",'계산'!$N$29)</f>
        <v/>
      </c>
      <c r="AI28" s="15">
        <f>IF(AI$6="","",'계산'!$N$30)</f>
        <v/>
      </c>
      <c r="AJ28" s="15">
        <f>IF(AJ$6="","",'계산'!$N$31)</f>
        <v/>
      </c>
    </row>
    <row r="29">
      <c r="E29" s="10" t="inlineStr">
        <is>
          <t>관리 상태</t>
        </is>
      </c>
      <c r="F29" s="10" t="n"/>
      <c r="G29" s="16">
        <f>IF(G$6="","",IF(OR(ISNUMBER('계산'!$S$2),ISNUMBER('계산'!$Y$2)),"이탈","OK"))</f>
        <v/>
      </c>
      <c r="H29" s="16">
        <f>IF(H$6="","",IF(OR(ISNUMBER('계산'!$S$3),ISNUMBER('계산'!$Y$3)),"이탈","OK"))</f>
        <v/>
      </c>
      <c r="I29" s="16">
        <f>IF(I$6="","",IF(OR(ISNUMBER('계산'!$S$4),ISNUMBER('계산'!$Y$4)),"이탈","OK"))</f>
        <v/>
      </c>
      <c r="J29" s="16">
        <f>IF(J$6="","",IF(OR(ISNUMBER('계산'!$S$5),ISNUMBER('계산'!$Y$5)),"이탈","OK"))</f>
        <v/>
      </c>
      <c r="K29" s="16">
        <f>IF(K$6="","",IF(OR(ISNUMBER('계산'!$S$6),ISNUMBER('계산'!$Y$6)),"이탈","OK"))</f>
        <v/>
      </c>
      <c r="L29" s="16">
        <f>IF(L$6="","",IF(OR(ISNUMBER('계산'!$S$7),ISNUMBER('계산'!$Y$7)),"이탈","OK"))</f>
        <v/>
      </c>
      <c r="M29" s="16">
        <f>IF(M$6="","",IF(OR(ISNUMBER('계산'!$S$8),ISNUMBER('계산'!$Y$8)),"이탈","OK"))</f>
        <v/>
      </c>
      <c r="N29" s="16">
        <f>IF(N$6="","",IF(OR(ISNUMBER('계산'!$S$9),ISNUMBER('계산'!$Y$9)),"이탈","OK"))</f>
        <v/>
      </c>
      <c r="O29" s="16">
        <f>IF(O$6="","",IF(OR(ISNUMBER('계산'!$S$10),ISNUMBER('계산'!$Y$10)),"이탈","OK"))</f>
        <v/>
      </c>
      <c r="P29" s="16">
        <f>IF(P$6="","",IF(OR(ISNUMBER('계산'!$S$11),ISNUMBER('계산'!$Y$11)),"이탈","OK"))</f>
        <v/>
      </c>
      <c r="Q29" s="16">
        <f>IF(Q$6="","",IF(OR(ISNUMBER('계산'!$S$12),ISNUMBER('계산'!$Y$12)),"이탈","OK"))</f>
        <v/>
      </c>
      <c r="R29" s="16">
        <f>IF(R$6="","",IF(OR(ISNUMBER('계산'!$S$13),ISNUMBER('계산'!$Y$13)),"이탈","OK"))</f>
        <v/>
      </c>
      <c r="S29" s="16">
        <f>IF(S$6="","",IF(OR(ISNUMBER('계산'!$S$14),ISNUMBER('계산'!$Y$14)),"이탈","OK"))</f>
        <v/>
      </c>
      <c r="T29" s="16">
        <f>IF(T$6="","",IF(OR(ISNUMBER('계산'!$S$15),ISNUMBER('계산'!$Y$15)),"이탈","OK"))</f>
        <v/>
      </c>
      <c r="U29" s="16">
        <f>IF(U$6="","",IF(OR(ISNUMBER('계산'!$S$16),ISNUMBER('계산'!$Y$16)),"이탈","OK"))</f>
        <v/>
      </c>
      <c r="V29" s="16">
        <f>IF(V$6="","",IF(OR(ISNUMBER('계산'!$S$17),ISNUMBER('계산'!$Y$17)),"이탈","OK"))</f>
        <v/>
      </c>
      <c r="W29" s="16">
        <f>IF(W$6="","",IF(OR(ISNUMBER('계산'!$S$18),ISNUMBER('계산'!$Y$18)),"이탈","OK"))</f>
        <v/>
      </c>
      <c r="X29" s="16">
        <f>IF(X$6="","",IF(OR(ISNUMBER('계산'!$S$19),ISNUMBER('계산'!$Y$19)),"이탈","OK"))</f>
        <v/>
      </c>
      <c r="Y29" s="16">
        <f>IF(Y$6="","",IF(OR(ISNUMBER('계산'!$S$20),ISNUMBER('계산'!$Y$20)),"이탈","OK"))</f>
        <v/>
      </c>
      <c r="Z29" s="16">
        <f>IF(Z$6="","",IF(OR(ISNUMBER('계산'!$S$21),ISNUMBER('계산'!$Y$21)),"이탈","OK"))</f>
        <v/>
      </c>
      <c r="AA29" s="16">
        <f>IF(AA$6="","",IF(OR(ISNUMBER('계산'!$S$22),ISNUMBER('계산'!$Y$22)),"이탈","OK"))</f>
        <v/>
      </c>
      <c r="AB29" s="16">
        <f>IF(AB$6="","",IF(OR(ISNUMBER('계산'!$S$23),ISNUMBER('계산'!$Y$23)),"이탈","OK"))</f>
        <v/>
      </c>
      <c r="AC29" s="16">
        <f>IF(AC$6="","",IF(OR(ISNUMBER('계산'!$S$24),ISNUMBER('계산'!$Y$24)),"이탈","OK"))</f>
        <v/>
      </c>
      <c r="AD29" s="16">
        <f>IF(AD$6="","",IF(OR(ISNUMBER('계산'!$S$25),ISNUMBER('계산'!$Y$25)),"이탈","OK"))</f>
        <v/>
      </c>
      <c r="AE29" s="16">
        <f>IF(AE$6="","",IF(OR(ISNUMBER('계산'!$S$26),ISNUMBER('계산'!$Y$26)),"이탈","OK"))</f>
        <v/>
      </c>
      <c r="AF29" s="16">
        <f>IF(AF$6="","",IF(OR(ISNUMBER('계산'!$S$27),ISNUMBER('계산'!$Y$27)),"이탈","OK"))</f>
        <v/>
      </c>
      <c r="AG29" s="16">
        <f>IF(AG$6="","",IF(OR(ISNUMBER('계산'!$S$28),ISNUMBER('계산'!$Y$28)),"이탈","OK"))</f>
        <v/>
      </c>
      <c r="AH29" s="16">
        <f>IF(AH$6="","",IF(OR(ISNUMBER('계산'!$S$29),ISNUMBER('계산'!$Y$29)),"이탈","OK"))</f>
        <v/>
      </c>
      <c r="AI29" s="16">
        <f>IF(AI$6="","",IF(OR(ISNUMBER('계산'!$S$30),ISNUMBER('계산'!$Y$30)),"이탈","OK"))</f>
        <v/>
      </c>
      <c r="AJ29" s="16">
        <f>IF(AJ$6="","",IF(OR(ISNUMBER('계산'!$S$31),ISNUMBER('계산'!$Y$31)),"이탈","OK"))</f>
        <v/>
      </c>
    </row>
    <row r="31">
      <c r="A31" s="6" t="inlineStr">
        <is>
          <t>2. 통계치 Summary</t>
        </is>
      </c>
      <c r="E31" s="6" t="inlineStr">
        <is>
          <t>4. Histogram</t>
        </is>
      </c>
      <c r="S31" s="6" t="inlineStr">
        <is>
          <t>5. X̄-R 관리도</t>
        </is>
      </c>
    </row>
    <row r="32">
      <c r="A32" s="11" t="inlineStr">
        <is>
          <t>추정불량율 /ppm</t>
        </is>
      </c>
      <c r="B32" s="11" t="n"/>
      <c r="C32" s="17">
        <f>'계산'!$AO$33</f>
        <v/>
      </c>
    </row>
    <row r="33">
      <c r="A33" s="18" t="inlineStr">
        <is>
          <t>Cpk</t>
        </is>
      </c>
      <c r="B33" s="18" t="n"/>
      <c r="C33" s="19">
        <f>'계산'!$AO$25</f>
        <v/>
      </c>
    </row>
    <row r="34">
      <c r="A34" s="18" t="inlineStr">
        <is>
          <t>Cpk 판정</t>
        </is>
      </c>
      <c r="B34" s="18" t="n"/>
      <c r="C34" s="20">
        <f>IF(ISNUMBER('계산'!$AO$25),IF('계산'!$AO$25&gt;=1.33,"OK (1.33이상)","NG (1.33미만)"),"")</f>
        <v/>
      </c>
    </row>
    <row r="35">
      <c r="A35" s="11" t="inlineStr">
        <is>
          <t>Cpu</t>
        </is>
      </c>
      <c r="B35" s="11" t="n"/>
      <c r="C35" s="17">
        <f>'계산'!$AO$24</f>
        <v/>
      </c>
    </row>
    <row r="36">
      <c r="A36" s="11" t="inlineStr">
        <is>
          <t>Cpl</t>
        </is>
      </c>
      <c r="B36" s="11" t="n"/>
      <c r="C36" s="17">
        <f>'계산'!$AO$23</f>
        <v/>
      </c>
    </row>
    <row r="37">
      <c r="A37" s="18" t="inlineStr">
        <is>
          <t>Cp</t>
        </is>
      </c>
      <c r="B37" s="18" t="n"/>
      <c r="C37" s="19">
        <f>'계산'!$AO$22</f>
        <v/>
      </c>
    </row>
    <row r="38">
      <c r="A38" s="11" t="inlineStr">
        <is>
          <t>Ppk</t>
        </is>
      </c>
      <c r="B38" s="11" t="n"/>
      <c r="C38" s="17">
        <f>'계산'!$AO$29</f>
        <v/>
      </c>
    </row>
    <row r="39">
      <c r="A39" s="11" t="inlineStr">
        <is>
          <t>최대값</t>
        </is>
      </c>
      <c r="B39" s="11" t="n"/>
      <c r="C39" s="21">
        <f>'계산'!$B$6</f>
        <v/>
      </c>
    </row>
    <row r="40">
      <c r="A40" s="11" t="inlineStr">
        <is>
          <t>최소값</t>
        </is>
      </c>
      <c r="B40" s="11" t="n"/>
      <c r="C40" s="21">
        <f>'계산'!$B$7</f>
        <v/>
      </c>
    </row>
    <row r="41">
      <c r="A41" s="11" t="inlineStr">
        <is>
          <t>평균(X)</t>
        </is>
      </c>
      <c r="B41" s="11" t="n"/>
      <c r="C41" s="21">
        <f>'계산'!$AO$19</f>
        <v/>
      </c>
    </row>
    <row r="42">
      <c r="A42" s="11" t="inlineStr">
        <is>
          <t>표준편차(전체)</t>
        </is>
      </c>
      <c r="B42" s="11" t="n"/>
      <c r="C42" s="22">
        <f>'계산'!$AO$20</f>
        <v/>
      </c>
    </row>
    <row r="43">
      <c r="A43" s="11" t="inlineStr">
        <is>
          <t>표준편차(군내)</t>
        </is>
      </c>
      <c r="B43" s="11" t="n"/>
      <c r="C43" s="22">
        <f>'계산'!$AO$21</f>
        <v/>
      </c>
    </row>
    <row r="44">
      <c r="A44" s="2" t="inlineStr">
        <is>
          <t>X</t>
        </is>
      </c>
      <c r="B44" s="23" t="inlineStr">
        <is>
          <t>UCL</t>
        </is>
      </c>
      <c r="C44" s="24">
        <f>'계산'!$AO$34</f>
        <v/>
      </c>
    </row>
    <row r="45">
      <c r="A45" s="2" t="n"/>
      <c r="B45" s="23" t="inlineStr">
        <is>
          <t>CL</t>
        </is>
      </c>
      <c r="C45" s="24">
        <f>'계산'!$AO$35</f>
        <v/>
      </c>
    </row>
    <row r="46">
      <c r="A46" s="2" t="n"/>
      <c r="B46" s="23" t="inlineStr">
        <is>
          <t>LCL</t>
        </is>
      </c>
      <c r="C46" s="24">
        <f>'계산'!$AO$36</f>
        <v/>
      </c>
    </row>
    <row r="47">
      <c r="A47" s="2" t="inlineStr">
        <is>
          <t>R</t>
        </is>
      </c>
      <c r="B47" s="23" t="inlineStr">
        <is>
          <t>UCL</t>
        </is>
      </c>
      <c r="C47" s="24">
        <f>'계산'!$AO$37</f>
        <v/>
      </c>
    </row>
    <row r="48">
      <c r="A48" s="2" t="n"/>
      <c r="B48" s="23" t="inlineStr">
        <is>
          <t>CL</t>
        </is>
      </c>
      <c r="C48" s="24">
        <f>'계산'!$AO$38</f>
        <v/>
      </c>
    </row>
    <row r="49">
      <c r="A49" s="2" t="n"/>
      <c r="B49" s="23" t="inlineStr">
        <is>
          <t>USL</t>
        </is>
      </c>
      <c r="C49" s="24">
        <f>'계산'!$AO$39</f>
        <v/>
      </c>
    </row>
    <row r="50">
      <c r="A50" s="11" t="inlineStr">
        <is>
          <t>이탈 Lot (X / R)</t>
        </is>
      </c>
      <c r="B50" s="11" t="n"/>
      <c r="C50" s="25">
        <f>IF('계산'!$AN$40="","",'계산'!$AN$40&amp;" / "&amp;'계산'!$AN$41)</f>
        <v/>
      </c>
    </row>
    <row r="57">
      <c r="A57" s="26" t="inlineStr">
        <is>
          <t>★ 공정능력 유무의 판단 기준 ★</t>
        </is>
      </c>
      <c r="B57" s="26" t="n"/>
      <c r="C57" s="26" t="n"/>
      <c r="D57" s="26" t="n"/>
      <c r="E57" s="26" t="n"/>
      <c r="F57" s="26" t="n"/>
      <c r="G57" s="27" t="inlineStr">
        <is>
          <t>▶ Cpk ≥ 1.67 : 공정능력 매우 충분     ▶ 1.67 &gt; Cpk ≥ 1.33 : 공정능력이 충분     ▶ 1.33 &gt; Cpk ≥ 1.00 : 공정능력이 있음     ▶ 1.00 &gt; Cpk ≥ 0.67 : 공정능력이 부족     ▶ 0.67 &gt; Cpk : 공정능력이 없음</t>
        </is>
      </c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</row>
  </sheetData>
  <mergeCells count="75">
    <mergeCell ref="G5:S5"/>
    <mergeCell ref="E12:F12"/>
    <mergeCell ref="C3:J3"/>
    <mergeCell ref="AC5:AE5"/>
    <mergeCell ref="E24:F24"/>
    <mergeCell ref="Q3:AJ3"/>
    <mergeCell ref="E5:F5"/>
    <mergeCell ref="A5:B6"/>
    <mergeCell ref="E23:F23"/>
    <mergeCell ref="A36:B36"/>
    <mergeCell ref="E14:F14"/>
    <mergeCell ref="A47:A49"/>
    <mergeCell ref="G57:AJ57"/>
    <mergeCell ref="E17:F17"/>
    <mergeCell ref="A17:B18"/>
    <mergeCell ref="E8:F8"/>
    <mergeCell ref="A57:F57"/>
    <mergeCell ref="C9:C10"/>
    <mergeCell ref="B23:B24"/>
    <mergeCell ref="A13:B14"/>
    <mergeCell ref="E20:F20"/>
    <mergeCell ref="A44:A46"/>
    <mergeCell ref="E29:F29"/>
    <mergeCell ref="E10:F10"/>
    <mergeCell ref="A41:B41"/>
    <mergeCell ref="C25:C26"/>
    <mergeCell ref="E19:F19"/>
    <mergeCell ref="C21:C22"/>
    <mergeCell ref="E28:F28"/>
    <mergeCell ref="A37:B37"/>
    <mergeCell ref="E13:F13"/>
    <mergeCell ref="C11:C12"/>
    <mergeCell ref="E9:F9"/>
    <mergeCell ref="A9:B10"/>
    <mergeCell ref="A3:B3"/>
    <mergeCell ref="B19:B20"/>
    <mergeCell ref="A34:B34"/>
    <mergeCell ref="A50:B50"/>
    <mergeCell ref="A1:AJ2"/>
    <mergeCell ref="C23:C24"/>
    <mergeCell ref="E6:F6"/>
    <mergeCell ref="E15:F15"/>
    <mergeCell ref="A15:B16"/>
    <mergeCell ref="C17:C18"/>
    <mergeCell ref="A33:B33"/>
    <mergeCell ref="E11:F11"/>
    <mergeCell ref="A11:B12"/>
    <mergeCell ref="C7:C8"/>
    <mergeCell ref="AF5:AJ5"/>
    <mergeCell ref="E27:F27"/>
    <mergeCell ref="A32:B32"/>
    <mergeCell ref="K3:P3"/>
    <mergeCell ref="A42:B42"/>
    <mergeCell ref="E26:F26"/>
    <mergeCell ref="C13:C14"/>
    <mergeCell ref="C19:C20"/>
    <mergeCell ref="A35:B35"/>
    <mergeCell ref="A38:B38"/>
    <mergeCell ref="E16:F16"/>
    <mergeCell ref="T5:V5"/>
    <mergeCell ref="E7:F7"/>
    <mergeCell ref="A7:B8"/>
    <mergeCell ref="E25:F25"/>
    <mergeCell ref="A43:B43"/>
    <mergeCell ref="W5:AB5"/>
    <mergeCell ref="B25:B26"/>
    <mergeCell ref="C15:C16"/>
    <mergeCell ref="E22:F22"/>
    <mergeCell ref="A39:B39"/>
    <mergeCell ref="A40:B40"/>
    <mergeCell ref="E18:F18"/>
    <mergeCell ref="B21:B22"/>
    <mergeCell ref="A19:A26"/>
    <mergeCell ref="E21:F21"/>
    <mergeCell ref="C5:C6"/>
  </mergeCells>
  <conditionalFormatting sqref="G27:AJ27">
    <cfRule type="expression" priority="1" dxfId="0">
      <formula>ISNUMBER(INDEX('계산'!$S$2:$S$31,COLUMN()-6))</formula>
    </cfRule>
  </conditionalFormatting>
  <conditionalFormatting sqref="G28:AJ28">
    <cfRule type="expression" priority="2" dxfId="0">
      <formula>ISNUMBER(INDEX('계산'!$Y$2:$Y$31,COLUMN()-6))</formula>
    </cfRule>
  </conditionalFormatting>
  <conditionalFormatting sqref="G29:AJ29">
    <cfRule type="expression" priority="3" dxfId="1">
      <formula>G29="이탈"</formula>
    </cfRule>
  </conditionalFormatting>
  <dataValidations count="1">
    <dataValidation sqref="C3" showDropDown="0" showInputMessage="0" showErrorMessage="0" allowBlank="1" promptTitle="기록 선택" prompt="목록에서 기록ID 를 고르세요. 비워두면 가장 최근 기록이 표시됩니다." type="list">
      <formula1>=L_ID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FBFBF"/>
    <outlinePr summaryBelow="1" summaryRight="1"/>
    <pageSetUpPr/>
  </sheetPr>
  <dimension ref="A1:AO7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9" max="39"/>
    <col width="26" customWidth="1" min="40" max="40"/>
  </cols>
  <sheetData>
    <row r="1">
      <c r="A1" t="inlineStr">
        <is>
          <t>선택 기록ID</t>
        </is>
      </c>
      <c r="B1">
        <f>IFERROR(IF(TRIM('SPC Chart'!$C$3)&lt;&gt;"",TRIM('SPC Chart'!$C$3),INDEX(R_ID,R_LAST)),"")</f>
        <v/>
      </c>
      <c r="J1" s="28" t="inlineStr">
        <is>
          <t>k</t>
        </is>
      </c>
      <c r="K1" s="28" t="inlineStr">
        <is>
          <t>Lot</t>
        </is>
      </c>
      <c r="L1" s="28" t="inlineStr">
        <is>
          <t>개수</t>
        </is>
      </c>
      <c r="M1" s="28" t="inlineStr">
        <is>
          <t>평균</t>
        </is>
      </c>
      <c r="N1" s="28" t="inlineStr">
        <is>
          <t>범위</t>
        </is>
      </c>
      <c r="O1" s="28" t="inlineStr">
        <is>
          <t>Xbar</t>
        </is>
      </c>
      <c r="P1" s="28" t="inlineStr">
        <is>
          <t>UCL(+3σ)</t>
        </is>
      </c>
      <c r="Q1" s="28" t="inlineStr">
        <is>
          <t>CL</t>
        </is>
      </c>
      <c r="R1" s="28" t="inlineStr">
        <is>
          <t>LCL(-3σ)</t>
        </is>
      </c>
      <c r="S1" s="28" t="inlineStr">
        <is>
          <t>Xbar 이탈</t>
        </is>
      </c>
      <c r="T1" s="28" t="inlineStr">
        <is>
          <t>Lot명</t>
        </is>
      </c>
      <c r="U1" s="28" t="inlineStr">
        <is>
          <t>R</t>
        </is>
      </c>
      <c r="V1" s="28" t="inlineStr">
        <is>
          <t>UCL(+3σ)</t>
        </is>
      </c>
      <c r="W1" s="28" t="inlineStr">
        <is>
          <t>CL</t>
        </is>
      </c>
      <c r="X1" s="28" t="inlineStr">
        <is>
          <t>USL</t>
        </is>
      </c>
      <c r="Y1" s="28" t="inlineStr">
        <is>
          <t>R 이탈</t>
        </is>
      </c>
      <c r="AA1" t="inlineStr">
        <is>
          <t>히스토그램</t>
        </is>
      </c>
      <c r="AM1" t="inlineStr">
        <is>
          <t>항목</t>
        </is>
      </c>
      <c r="AN1" t="inlineStr">
        <is>
          <t>값(글자)</t>
        </is>
      </c>
      <c r="AO1" t="inlineStr">
        <is>
          <t>값(숫자)</t>
        </is>
      </c>
    </row>
    <row r="2">
      <c r="A2" t="inlineStr">
        <is>
          <t>결과기록 행</t>
        </is>
      </c>
      <c r="B2">
        <f>IFERROR(MATCH($B$1,R_ID,0),"")</f>
        <v/>
      </c>
      <c r="J2" t="n">
        <v>1</v>
      </c>
      <c r="K2">
        <f>IFERROR(INDEX($C$12:$C$761,MATCH(J2,$F$12:$F$761,0)),"")</f>
        <v/>
      </c>
      <c r="L2">
        <f>COUNTIF($F$12:$F$761,J2)</f>
        <v/>
      </c>
      <c r="M2">
        <f>IF(L2=0,"",AVERAGEIF($F$12:$F$761,J2,$E$12:$E$761))</f>
        <v/>
      </c>
      <c r="N2">
        <f>IF(L2=0,"",MAX(INDEX($E$12:$E$761,MATCH(J2,$F$12:$F$761,0)):INDEX($E$12:$E$761,MATCH(J2,$F$12:$F$761,0)+L2-1))-MIN(INDEX($E$12:$E$761,MATCH(J2,$F$12:$F$761,0)):INDEX($E$12:$E$761,MATCH(J2,$F$12:$F$761,0)+L2-1)))</f>
        <v/>
      </c>
      <c r="O2">
        <f>IF(AND(J2&lt;=$B$5,L2&gt;0),M2,NA())</f>
        <v/>
      </c>
      <c r="P2">
        <f>IF(J2&lt;=$B$5,IF(ISNUMBER($AO$34),$AO$34,NA()),NA())</f>
        <v/>
      </c>
      <c r="Q2">
        <f>IF(J2&lt;=$B$5,IF(ISNUMBER($AO$35),$AO$35,NA()),NA())</f>
        <v/>
      </c>
      <c r="R2">
        <f>IF(J2&lt;=$B$5,IF(ISNUMBER($AO$36),$AO$36,NA()),NA())</f>
        <v/>
      </c>
      <c r="S2">
        <f>IF(AND(J2&lt;=$B$5,L2&gt;0),IF(OR(M2&gt;P2,M2&lt;R2),M2,NA()),NA())</f>
        <v/>
      </c>
      <c r="T2">
        <f>IF(J2&lt;=$B$5,K2,"")</f>
        <v/>
      </c>
      <c r="U2">
        <f>IF(AND(J2&lt;=$B$5,L2&gt;0),N2,NA())</f>
        <v/>
      </c>
      <c r="V2">
        <f>IF(J2&lt;=$B$5,IF(ISNUMBER($AO$37),$AO$37,NA()),NA())</f>
        <v/>
      </c>
      <c r="W2">
        <f>IF(J2&lt;=$B$5,IF(ISNUMBER($AO$38),$AO$38,NA()),NA())</f>
        <v/>
      </c>
      <c r="X2">
        <f>IF(J2&lt;=$B$5,IF(ISNUMBER($AO$39),$AO$39,NA()),NA())</f>
        <v/>
      </c>
      <c r="Y2">
        <f>IF(AND(J2&lt;=$B$5,L2&gt;0),IF(N2&gt;V2,N2,NA()),NA())</f>
        <v/>
      </c>
      <c r="AA2" t="inlineStr">
        <is>
          <t>시작</t>
        </is>
      </c>
      <c r="AB2">
        <f>IF($B$4=0,0,MIN($B$7,IF(ISNUMBER($AO$15),$AO$15,$B$7))-(MAX($B$6,IF(ISNUMBER($AO$17),$AO$17,$B$6))-MIN($B$7,IF(ISNUMBER($AO$15),$AO$15,$B$7)))*0.03)</f>
        <v/>
      </c>
      <c r="AM2" t="inlineStr">
        <is>
          <t>기록ID</t>
        </is>
      </c>
      <c r="AN2">
        <f>IF($B$2="","",IFERROR(INDEX(R_BODY,$B$2,MATCH($AM2,R_HDR,0))&amp;"",""))</f>
        <v/>
      </c>
      <c r="AO2">
        <f>IF(AN2="","",IFERROR(VALUE(AN2),AN2))</f>
        <v/>
      </c>
    </row>
    <row r="3">
      <c r="A3" t="inlineStr">
        <is>
          <t>측정데이터 첫 행</t>
        </is>
      </c>
      <c r="B3">
        <f>IFERROR(MATCH($B$1,D_ID,0),0)</f>
        <v/>
      </c>
      <c r="J3" t="n">
        <v>2</v>
      </c>
      <c r="K3">
        <f>IFERROR(INDEX($C$12:$C$761,MATCH(J3,$F$12:$F$761,0)),"")</f>
        <v/>
      </c>
      <c r="L3">
        <f>COUNTIF($F$12:$F$761,J3)</f>
        <v/>
      </c>
      <c r="M3">
        <f>IF(L3=0,"",AVERAGEIF($F$12:$F$761,J3,$E$12:$E$761))</f>
        <v/>
      </c>
      <c r="N3">
        <f>IF(L3=0,"",MAX(INDEX($E$12:$E$761,MATCH(J3,$F$12:$F$761,0)):INDEX($E$12:$E$761,MATCH(J3,$F$12:$F$761,0)+L3-1))-MIN(INDEX($E$12:$E$761,MATCH(J3,$F$12:$F$761,0)):INDEX($E$12:$E$761,MATCH(J3,$F$12:$F$761,0)+L3-1)))</f>
        <v/>
      </c>
      <c r="O3">
        <f>IF(AND(J3&lt;=$B$5,L3&gt;0),M3,NA())</f>
        <v/>
      </c>
      <c r="P3">
        <f>IF(J3&lt;=$B$5,IF(ISNUMBER($AO$34),$AO$34,NA()),NA())</f>
        <v/>
      </c>
      <c r="Q3">
        <f>IF(J3&lt;=$B$5,IF(ISNUMBER($AO$35),$AO$35,NA()),NA())</f>
        <v/>
      </c>
      <c r="R3">
        <f>IF(J3&lt;=$B$5,IF(ISNUMBER($AO$36),$AO$36,NA()),NA())</f>
        <v/>
      </c>
      <c r="S3">
        <f>IF(AND(J3&lt;=$B$5,L3&gt;0),IF(OR(M3&gt;P3,M3&lt;R3),M3,NA()),NA())</f>
        <v/>
      </c>
      <c r="T3">
        <f>IF(J3&lt;=$B$5,K3,"")</f>
        <v/>
      </c>
      <c r="U3">
        <f>IF(AND(J3&lt;=$B$5,L3&gt;0),N3,NA())</f>
        <v/>
      </c>
      <c r="V3">
        <f>IF(J3&lt;=$B$5,IF(ISNUMBER($AO$37),$AO$37,NA()),NA())</f>
        <v/>
      </c>
      <c r="W3">
        <f>IF(J3&lt;=$B$5,IF(ISNUMBER($AO$38),$AO$38,NA()),NA())</f>
        <v/>
      </c>
      <c r="X3">
        <f>IF(J3&lt;=$B$5,IF(ISNUMBER($AO$39),$AO$39,NA()),NA())</f>
        <v/>
      </c>
      <c r="Y3">
        <f>IF(AND(J3&lt;=$B$5,L3&gt;0),IF(N3&gt;V3,N3,NA()),NA())</f>
        <v/>
      </c>
      <c r="AA3" t="inlineStr">
        <is>
          <t>막대 너비</t>
        </is>
      </c>
      <c r="AB3">
        <f>IF($B$4=0,1,MAX((MAX($B$6,IF(ISNUMBER($AO$17),$AO$17,$B$6))-MIN($B$7,IF(ISNUMBER($AO$15),$AO$15,$B$7)))*1.06,1E-9)/80)</f>
        <v/>
      </c>
      <c r="AM3" t="inlineStr">
        <is>
          <t>저장일시</t>
        </is>
      </c>
      <c r="AN3">
        <f>IF($B$2="","",IFERROR(INDEX(R_BODY,$B$2,MATCH($AM3,R_HDR,0))&amp;"",""))</f>
        <v/>
      </c>
      <c r="AO3">
        <f>IF(AN3="","",IFERROR(VALUE(AN3),AN3))</f>
        <v/>
      </c>
    </row>
    <row r="4">
      <c r="A4" t="inlineStr">
        <is>
          <t>측정값 수</t>
        </is>
      </c>
      <c r="B4">
        <f>IF($B$3=0,0,MIN(COUNTIF(D_ID,$B$1),750))</f>
        <v/>
      </c>
      <c r="J4" t="n">
        <v>3</v>
      </c>
      <c r="K4">
        <f>IFERROR(INDEX($C$12:$C$761,MATCH(J4,$F$12:$F$761,0)),"")</f>
        <v/>
      </c>
      <c r="L4">
        <f>COUNTIF($F$12:$F$761,J4)</f>
        <v/>
      </c>
      <c r="M4">
        <f>IF(L4=0,"",AVERAGEIF($F$12:$F$761,J4,$E$12:$E$761))</f>
        <v/>
      </c>
      <c r="N4">
        <f>IF(L4=0,"",MAX(INDEX($E$12:$E$761,MATCH(J4,$F$12:$F$761,0)):INDEX($E$12:$E$761,MATCH(J4,$F$12:$F$761,0)+L4-1))-MIN(INDEX($E$12:$E$761,MATCH(J4,$F$12:$F$761,0)):INDEX($E$12:$E$761,MATCH(J4,$F$12:$F$761,0)+L4-1)))</f>
        <v/>
      </c>
      <c r="O4">
        <f>IF(AND(J4&lt;=$B$5,L4&gt;0),M4,NA())</f>
        <v/>
      </c>
      <c r="P4">
        <f>IF(J4&lt;=$B$5,IF(ISNUMBER($AO$34),$AO$34,NA()),NA())</f>
        <v/>
      </c>
      <c r="Q4">
        <f>IF(J4&lt;=$B$5,IF(ISNUMBER($AO$35),$AO$35,NA()),NA())</f>
        <v/>
      </c>
      <c r="R4">
        <f>IF(J4&lt;=$B$5,IF(ISNUMBER($AO$36),$AO$36,NA()),NA())</f>
        <v/>
      </c>
      <c r="S4">
        <f>IF(AND(J4&lt;=$B$5,L4&gt;0),IF(OR(M4&gt;P4,M4&lt;R4),M4,NA()),NA())</f>
        <v/>
      </c>
      <c r="T4">
        <f>IF(J4&lt;=$B$5,K4,"")</f>
        <v/>
      </c>
      <c r="U4">
        <f>IF(AND(J4&lt;=$B$5,L4&gt;0),N4,NA())</f>
        <v/>
      </c>
      <c r="V4">
        <f>IF(J4&lt;=$B$5,IF(ISNUMBER($AO$37),$AO$37,NA()),NA())</f>
        <v/>
      </c>
      <c r="W4">
        <f>IF(J4&lt;=$B$5,IF(ISNUMBER($AO$38),$AO$38,NA()),NA())</f>
        <v/>
      </c>
      <c r="X4">
        <f>IF(J4&lt;=$B$5,IF(ISNUMBER($AO$39),$AO$39,NA()),NA())</f>
        <v/>
      </c>
      <c r="Y4">
        <f>IF(AND(J4&lt;=$B$5,L4&gt;0),IF(N4&gt;V4,N4,NA()),NA())</f>
        <v/>
      </c>
      <c r="AA4" t="inlineStr">
        <is>
          <t>세로 최대</t>
        </is>
      </c>
      <c r="AB4">
        <f>MAX(1,MAX($AE$7:$AE$86),IFERROR(MAX($AF$7:$AG$86),0))*1.05</f>
        <v/>
      </c>
      <c r="AM4" t="inlineStr">
        <is>
          <t>작성자</t>
        </is>
      </c>
      <c r="AN4">
        <f>IF($B$2="","",IFERROR(INDEX(R_BODY,$B$2,MATCH($AM4,R_HDR,0))&amp;"",""))</f>
        <v/>
      </c>
      <c r="AO4">
        <f>IF(AN4="","",IFERROR(VALUE(AN4),AN4))</f>
        <v/>
      </c>
    </row>
    <row r="5">
      <c r="A5" t="inlineStr">
        <is>
          <t>Lot 수</t>
        </is>
      </c>
      <c r="B5">
        <f>IF($B$4=0,0,MIN(MAX($F$12:$F$761),30))</f>
        <v/>
      </c>
      <c r="J5" t="n">
        <v>4</v>
      </c>
      <c r="K5">
        <f>IFERROR(INDEX($C$12:$C$761,MATCH(J5,$F$12:$F$761,0)),"")</f>
        <v/>
      </c>
      <c r="L5">
        <f>COUNTIF($F$12:$F$761,J5)</f>
        <v/>
      </c>
      <c r="M5">
        <f>IF(L5=0,"",AVERAGEIF($F$12:$F$761,J5,$E$12:$E$761))</f>
        <v/>
      </c>
      <c r="N5">
        <f>IF(L5=0,"",MAX(INDEX($E$12:$E$761,MATCH(J5,$F$12:$F$761,0)):INDEX($E$12:$E$761,MATCH(J5,$F$12:$F$761,0)+L5-1))-MIN(INDEX($E$12:$E$761,MATCH(J5,$F$12:$F$761,0)):INDEX($E$12:$E$761,MATCH(J5,$F$12:$F$761,0)+L5-1)))</f>
        <v/>
      </c>
      <c r="O5">
        <f>IF(AND(J5&lt;=$B$5,L5&gt;0),M5,NA())</f>
        <v/>
      </c>
      <c r="P5">
        <f>IF(J5&lt;=$B$5,IF(ISNUMBER($AO$34),$AO$34,NA()),NA())</f>
        <v/>
      </c>
      <c r="Q5">
        <f>IF(J5&lt;=$B$5,IF(ISNUMBER($AO$35),$AO$35,NA()),NA())</f>
        <v/>
      </c>
      <c r="R5">
        <f>IF(J5&lt;=$B$5,IF(ISNUMBER($AO$36),$AO$36,NA()),NA())</f>
        <v/>
      </c>
      <c r="S5">
        <f>IF(AND(J5&lt;=$B$5,L5&gt;0),IF(OR(M5&gt;P5,M5&lt;R5),M5,NA()),NA())</f>
        <v/>
      </c>
      <c r="T5">
        <f>IF(J5&lt;=$B$5,K5,"")</f>
        <v/>
      </c>
      <c r="U5">
        <f>IF(AND(J5&lt;=$B$5,L5&gt;0),N5,NA())</f>
        <v/>
      </c>
      <c r="V5">
        <f>IF(J5&lt;=$B$5,IF(ISNUMBER($AO$37),$AO$37,NA()),NA())</f>
        <v/>
      </c>
      <c r="W5">
        <f>IF(J5&lt;=$B$5,IF(ISNUMBER($AO$38),$AO$38,NA()),NA())</f>
        <v/>
      </c>
      <c r="X5">
        <f>IF(J5&lt;=$B$5,IF(ISNUMBER($AO$39),$AO$39,NA()),NA())</f>
        <v/>
      </c>
      <c r="Y5">
        <f>IF(AND(J5&lt;=$B$5,L5&gt;0),IF(N5&gt;V5,N5,NA()),NA())</f>
        <v/>
      </c>
      <c r="AM5" t="inlineStr">
        <is>
          <t>제목(조성)</t>
        </is>
      </c>
      <c r="AN5">
        <f>IF($B$2="","",IFERROR(INDEX(R_BODY,$B$2,MATCH($AM5,R_HDR,0))&amp;"",""))</f>
        <v/>
      </c>
      <c r="AO5">
        <f>IF(AN5="","",IFERROR(VALUE(AN5),AN5))</f>
        <v/>
      </c>
    </row>
    <row r="6">
      <c r="A6" t="inlineStr">
        <is>
          <t>최대값</t>
        </is>
      </c>
      <c r="B6">
        <f>IF($B$4=0,"",MAX($E$12:$E$761))</f>
        <v/>
      </c>
      <c r="J6" t="n">
        <v>5</v>
      </c>
      <c r="K6">
        <f>IFERROR(INDEX($C$12:$C$761,MATCH(J6,$F$12:$F$761,0)),"")</f>
        <v/>
      </c>
      <c r="L6">
        <f>COUNTIF($F$12:$F$761,J6)</f>
        <v/>
      </c>
      <c r="M6">
        <f>IF(L6=0,"",AVERAGEIF($F$12:$F$761,J6,$E$12:$E$761))</f>
        <v/>
      </c>
      <c r="N6">
        <f>IF(L6=0,"",MAX(INDEX($E$12:$E$761,MATCH(J6,$F$12:$F$761,0)):INDEX($E$12:$E$761,MATCH(J6,$F$12:$F$761,0)+L6-1))-MIN(INDEX($E$12:$E$761,MATCH(J6,$F$12:$F$761,0)):INDEX($E$12:$E$761,MATCH(J6,$F$12:$F$761,0)+L6-1)))</f>
        <v/>
      </c>
      <c r="O6">
        <f>IF(AND(J6&lt;=$B$5,L6&gt;0),M6,NA())</f>
        <v/>
      </c>
      <c r="P6">
        <f>IF(J6&lt;=$B$5,IF(ISNUMBER($AO$34),$AO$34,NA()),NA())</f>
        <v/>
      </c>
      <c r="Q6">
        <f>IF(J6&lt;=$B$5,IF(ISNUMBER($AO$35),$AO$35,NA()),NA())</f>
        <v/>
      </c>
      <c r="R6">
        <f>IF(J6&lt;=$B$5,IF(ISNUMBER($AO$36),$AO$36,NA()),NA())</f>
        <v/>
      </c>
      <c r="S6">
        <f>IF(AND(J6&lt;=$B$5,L6&gt;0),IF(OR(M6&gt;P6,M6&lt;R6),M6,NA()),NA())</f>
        <v/>
      </c>
      <c r="T6">
        <f>IF(J6&lt;=$B$5,K6,"")</f>
        <v/>
      </c>
      <c r="U6">
        <f>IF(AND(J6&lt;=$B$5,L6&gt;0),N6,NA())</f>
        <v/>
      </c>
      <c r="V6">
        <f>IF(J6&lt;=$B$5,IF(ISNUMBER($AO$37),$AO$37,NA()),NA())</f>
        <v/>
      </c>
      <c r="W6">
        <f>IF(J6&lt;=$B$5,IF(ISNUMBER($AO$38),$AO$38,NA()),NA())</f>
        <v/>
      </c>
      <c r="X6">
        <f>IF(J6&lt;=$B$5,IF(ISNUMBER($AO$39),$AO$39,NA()),NA())</f>
        <v/>
      </c>
      <c r="Y6">
        <f>IF(AND(J6&lt;=$B$5,L6&gt;0),IF(N6&gt;V6,N6,NA()),NA())</f>
        <v/>
      </c>
      <c r="AB6" t="inlineStr">
        <is>
          <t>시작</t>
        </is>
      </c>
      <c r="AC6" t="inlineStr">
        <is>
          <t>중심</t>
        </is>
      </c>
      <c r="AD6" t="inlineStr">
        <is>
          <t>라벨</t>
        </is>
      </c>
      <c r="AE6" t="inlineStr">
        <is>
          <t>빈도</t>
        </is>
      </c>
      <c r="AF6" t="inlineStr">
        <is>
          <t>전체</t>
        </is>
      </c>
      <c r="AG6" t="inlineStr">
        <is>
          <t>군내</t>
        </is>
      </c>
      <c r="AH6" t="inlineStr">
        <is>
          <t>LSL</t>
        </is>
      </c>
      <c r="AI6" t="inlineStr">
        <is>
          <t>Target</t>
        </is>
      </c>
      <c r="AJ6" t="inlineStr">
        <is>
          <t>USL</t>
        </is>
      </c>
      <c r="AM6" t="inlineStr">
        <is>
          <t>Job(Lot)</t>
        </is>
      </c>
      <c r="AN6">
        <f>IF($B$2="","",IFERROR(INDEX(R_BODY,$B$2,MATCH($AM6,R_HDR,0))&amp;"",""))</f>
        <v/>
      </c>
      <c r="AO6">
        <f>IF(AN6="","",IFERROR(VALUE(AN6),AN6))</f>
        <v/>
      </c>
    </row>
    <row r="7">
      <c r="A7" t="inlineStr">
        <is>
          <t>최소값</t>
        </is>
      </c>
      <c r="B7">
        <f>IF($B$4=0,"",MIN($E$12:$E$761))</f>
        <v/>
      </c>
      <c r="J7" t="n">
        <v>6</v>
      </c>
      <c r="K7">
        <f>IFERROR(INDEX($C$12:$C$761,MATCH(J7,$F$12:$F$761,0)),"")</f>
        <v/>
      </c>
      <c r="L7">
        <f>COUNTIF($F$12:$F$761,J7)</f>
        <v/>
      </c>
      <c r="M7">
        <f>IF(L7=0,"",AVERAGEIF($F$12:$F$761,J7,$E$12:$E$761))</f>
        <v/>
      </c>
      <c r="N7">
        <f>IF(L7=0,"",MAX(INDEX($E$12:$E$761,MATCH(J7,$F$12:$F$761,0)):INDEX($E$12:$E$761,MATCH(J7,$F$12:$F$761,0)+L7-1))-MIN(INDEX($E$12:$E$761,MATCH(J7,$F$12:$F$761,0)):INDEX($E$12:$E$761,MATCH(J7,$F$12:$F$761,0)+L7-1)))</f>
        <v/>
      </c>
      <c r="O7">
        <f>IF(AND(J7&lt;=$B$5,L7&gt;0),M7,NA())</f>
        <v/>
      </c>
      <c r="P7">
        <f>IF(J7&lt;=$B$5,IF(ISNUMBER($AO$34),$AO$34,NA()),NA())</f>
        <v/>
      </c>
      <c r="Q7">
        <f>IF(J7&lt;=$B$5,IF(ISNUMBER($AO$35),$AO$35,NA()),NA())</f>
        <v/>
      </c>
      <c r="R7">
        <f>IF(J7&lt;=$B$5,IF(ISNUMBER($AO$36),$AO$36,NA()),NA())</f>
        <v/>
      </c>
      <c r="S7">
        <f>IF(AND(J7&lt;=$B$5,L7&gt;0),IF(OR(M7&gt;P7,M7&lt;R7),M7,NA()),NA())</f>
        <v/>
      </c>
      <c r="T7">
        <f>IF(J7&lt;=$B$5,K7,"")</f>
        <v/>
      </c>
      <c r="U7">
        <f>IF(AND(J7&lt;=$B$5,L7&gt;0),N7,NA())</f>
        <v/>
      </c>
      <c r="V7">
        <f>IF(J7&lt;=$B$5,IF(ISNUMBER($AO$37),$AO$37,NA()),NA())</f>
        <v/>
      </c>
      <c r="W7">
        <f>IF(J7&lt;=$B$5,IF(ISNUMBER($AO$38),$AO$38,NA()),NA())</f>
        <v/>
      </c>
      <c r="X7">
        <f>IF(J7&lt;=$B$5,IF(ISNUMBER($AO$39),$AO$39,NA()),NA())</f>
        <v/>
      </c>
      <c r="Y7">
        <f>IF(AND(J7&lt;=$B$5,L7&gt;0),IF(N7&gt;V7,N7,NA()),NA())</f>
        <v/>
      </c>
      <c r="AB7">
        <f>$AB$2+(1-1)*$AB$3</f>
        <v/>
      </c>
      <c r="AC7">
        <f>AB7+$AB$3/2</f>
        <v/>
      </c>
      <c r="AD7">
        <f>TEXT(AC7,IF($AB$3&lt;0.1,"0.00",IF($AB$3&lt;1,"0.0","0")))</f>
        <v/>
      </c>
      <c r="AE7">
        <f>IF($B$4=0,0,COUNTIFS('계산'!$E$12:$E$761,"&gt;="&amp;AB7,'계산'!$E$12:$E$761,"&lt;"&amp;AB7+$AB$3))</f>
        <v/>
      </c>
      <c r="AF7">
        <f>IF(AND(ISNUMBER($AO$20),ISNUMBER($AO$18)),$AO$18*$AB$3*NORMDIST(AC7,$AO$19,$AO$20,FALSE),NA())</f>
        <v/>
      </c>
      <c r="AG7">
        <f>IF(AND(ISNUMBER($AO$21),ISNUMBER($AO$18)),$AO$18*$AB$3*NORMDIST(AC7,$AO$19,$AO$21,FALSE),NA())</f>
        <v/>
      </c>
      <c r="AH7">
        <f>IF(ISNUMBER($AO$15),IF(AND($AO$15&gt;=AB7,$AO$15&lt;AB7+$AB$3),$AB$4,NA()),NA())</f>
        <v/>
      </c>
      <c r="AI7">
        <f>IF(ISNUMBER($AO$16),IF(AND($AO$16&gt;=AB7,$AO$16&lt;AB7+$AB$3),$AB$4,NA()),NA())</f>
        <v/>
      </c>
      <c r="AJ7">
        <f>IF(ISNUMBER($AO$17),IF(AND($AO$17&gt;=AB7,$AO$17&lt;AB7+$AB$3),$AB$4,NA()),NA())</f>
        <v/>
      </c>
      <c r="AM7" t="inlineStr">
        <is>
          <t>고객명</t>
        </is>
      </c>
      <c r="AN7">
        <f>IF($B$2="","",IFERROR(INDEX(R_BODY,$B$2,MATCH($AM7,R_HDR,0))&amp;"",""))</f>
        <v/>
      </c>
      <c r="AO7">
        <f>IF(AN7="","",IFERROR(VALUE(AN7),AN7))</f>
        <v/>
      </c>
    </row>
    <row r="8">
      <c r="J8" t="n">
        <v>7</v>
      </c>
      <c r="K8">
        <f>IFERROR(INDEX($C$12:$C$761,MATCH(J8,$F$12:$F$761,0)),"")</f>
        <v/>
      </c>
      <c r="L8">
        <f>COUNTIF($F$12:$F$761,J8)</f>
        <v/>
      </c>
      <c r="M8">
        <f>IF(L8=0,"",AVERAGEIF($F$12:$F$761,J8,$E$12:$E$761))</f>
        <v/>
      </c>
      <c r="N8">
        <f>IF(L8=0,"",MAX(INDEX($E$12:$E$761,MATCH(J8,$F$12:$F$761,0)):INDEX($E$12:$E$761,MATCH(J8,$F$12:$F$761,0)+L8-1))-MIN(INDEX($E$12:$E$761,MATCH(J8,$F$12:$F$761,0)):INDEX($E$12:$E$761,MATCH(J8,$F$12:$F$761,0)+L8-1)))</f>
        <v/>
      </c>
      <c r="O8">
        <f>IF(AND(J8&lt;=$B$5,L8&gt;0),M8,NA())</f>
        <v/>
      </c>
      <c r="P8">
        <f>IF(J8&lt;=$B$5,IF(ISNUMBER($AO$34),$AO$34,NA()),NA())</f>
        <v/>
      </c>
      <c r="Q8">
        <f>IF(J8&lt;=$B$5,IF(ISNUMBER($AO$35),$AO$35,NA()),NA())</f>
        <v/>
      </c>
      <c r="R8">
        <f>IF(J8&lt;=$B$5,IF(ISNUMBER($AO$36),$AO$36,NA()),NA())</f>
        <v/>
      </c>
      <c r="S8">
        <f>IF(AND(J8&lt;=$B$5,L8&gt;0),IF(OR(M8&gt;P8,M8&lt;R8),M8,NA()),NA())</f>
        <v/>
      </c>
      <c r="T8">
        <f>IF(J8&lt;=$B$5,K8,"")</f>
        <v/>
      </c>
      <c r="U8">
        <f>IF(AND(J8&lt;=$B$5,L8&gt;0),N8,NA())</f>
        <v/>
      </c>
      <c r="V8">
        <f>IF(J8&lt;=$B$5,IF(ISNUMBER($AO$37),$AO$37,NA()),NA())</f>
        <v/>
      </c>
      <c r="W8">
        <f>IF(J8&lt;=$B$5,IF(ISNUMBER($AO$38),$AO$38,NA()),NA())</f>
        <v/>
      </c>
      <c r="X8">
        <f>IF(J8&lt;=$B$5,IF(ISNUMBER($AO$39),$AO$39,NA()),NA())</f>
        <v/>
      </c>
      <c r="Y8">
        <f>IF(AND(J8&lt;=$B$5,L8&gt;0),IF(N8&gt;V8,N8,NA()),NA())</f>
        <v/>
      </c>
      <c r="AB8">
        <f>$AB$2+(2-1)*$AB$3</f>
        <v/>
      </c>
      <c r="AC8">
        <f>AB8+$AB$3/2</f>
        <v/>
      </c>
      <c r="AD8">
        <f>TEXT(AC8,IF($AB$3&lt;0.1,"0.00",IF($AB$3&lt;1,"0.0","0")))</f>
        <v/>
      </c>
      <c r="AE8">
        <f>IF($B$4=0,0,COUNTIFS('계산'!$E$12:$E$761,"&gt;="&amp;AB8,'계산'!$E$12:$E$761,"&lt;"&amp;AB8+$AB$3))</f>
        <v/>
      </c>
      <c r="AF8">
        <f>IF(AND(ISNUMBER($AO$20),ISNUMBER($AO$18)),$AO$18*$AB$3*NORMDIST(AC8,$AO$19,$AO$20,FALSE),NA())</f>
        <v/>
      </c>
      <c r="AG8">
        <f>IF(AND(ISNUMBER($AO$21),ISNUMBER($AO$18)),$AO$18*$AB$3*NORMDIST(AC8,$AO$19,$AO$21,FALSE),NA())</f>
        <v/>
      </c>
      <c r="AH8">
        <f>IF(ISNUMBER($AO$15),IF(AND($AO$15&gt;=AB8,$AO$15&lt;AB8+$AB$3),$AB$4,NA()),NA())</f>
        <v/>
      </c>
      <c r="AI8">
        <f>IF(ISNUMBER($AO$16),IF(AND($AO$16&gt;=AB8,$AO$16&lt;AB8+$AB$3),$AB$4,NA()),NA())</f>
        <v/>
      </c>
      <c r="AJ8">
        <f>IF(ISNUMBER($AO$17),IF(AND($AO$17&gt;=AB8,$AO$17&lt;AB8+$AB$3),$AB$4,NA()),NA())</f>
        <v/>
      </c>
      <c r="AM8" t="inlineStr">
        <is>
          <t>품명</t>
        </is>
      </c>
      <c r="AN8">
        <f>IF($B$2="","",IFERROR(INDEX(R_BODY,$B$2,MATCH($AM8,R_HDR,0))&amp;"",""))</f>
        <v/>
      </c>
      <c r="AO8">
        <f>IF(AN8="","",IFERROR(VALUE(AN8),AN8))</f>
        <v/>
      </c>
    </row>
    <row r="9">
      <c r="J9" t="n">
        <v>8</v>
      </c>
      <c r="K9">
        <f>IFERROR(INDEX($C$12:$C$761,MATCH(J9,$F$12:$F$761,0)),"")</f>
        <v/>
      </c>
      <c r="L9">
        <f>COUNTIF($F$12:$F$761,J9)</f>
        <v/>
      </c>
      <c r="M9">
        <f>IF(L9=0,"",AVERAGEIF($F$12:$F$761,J9,$E$12:$E$761))</f>
        <v/>
      </c>
      <c r="N9">
        <f>IF(L9=0,"",MAX(INDEX($E$12:$E$761,MATCH(J9,$F$12:$F$761,0)):INDEX($E$12:$E$761,MATCH(J9,$F$12:$F$761,0)+L9-1))-MIN(INDEX($E$12:$E$761,MATCH(J9,$F$12:$F$761,0)):INDEX($E$12:$E$761,MATCH(J9,$F$12:$F$761,0)+L9-1)))</f>
        <v/>
      </c>
      <c r="O9">
        <f>IF(AND(J9&lt;=$B$5,L9&gt;0),M9,NA())</f>
        <v/>
      </c>
      <c r="P9">
        <f>IF(J9&lt;=$B$5,IF(ISNUMBER($AO$34),$AO$34,NA()),NA())</f>
        <v/>
      </c>
      <c r="Q9">
        <f>IF(J9&lt;=$B$5,IF(ISNUMBER($AO$35),$AO$35,NA()),NA())</f>
        <v/>
      </c>
      <c r="R9">
        <f>IF(J9&lt;=$B$5,IF(ISNUMBER($AO$36),$AO$36,NA()),NA())</f>
        <v/>
      </c>
      <c r="S9">
        <f>IF(AND(J9&lt;=$B$5,L9&gt;0),IF(OR(M9&gt;P9,M9&lt;R9),M9,NA()),NA())</f>
        <v/>
      </c>
      <c r="T9">
        <f>IF(J9&lt;=$B$5,K9,"")</f>
        <v/>
      </c>
      <c r="U9">
        <f>IF(AND(J9&lt;=$B$5,L9&gt;0),N9,NA())</f>
        <v/>
      </c>
      <c r="V9">
        <f>IF(J9&lt;=$B$5,IF(ISNUMBER($AO$37),$AO$37,NA()),NA())</f>
        <v/>
      </c>
      <c r="W9">
        <f>IF(J9&lt;=$B$5,IF(ISNUMBER($AO$38),$AO$38,NA()),NA())</f>
        <v/>
      </c>
      <c r="X9">
        <f>IF(J9&lt;=$B$5,IF(ISNUMBER($AO$39),$AO$39,NA()),NA())</f>
        <v/>
      </c>
      <c r="Y9">
        <f>IF(AND(J9&lt;=$B$5,L9&gt;0),IF(N9&gt;V9,N9,NA()),NA())</f>
        <v/>
      </c>
      <c r="AB9">
        <f>$AB$2+(3-1)*$AB$3</f>
        <v/>
      </c>
      <c r="AC9">
        <f>AB9+$AB$3/2</f>
        <v/>
      </c>
      <c r="AD9">
        <f>TEXT(AC9,IF($AB$3&lt;0.1,"0.00",IF($AB$3&lt;1,"0.0","0")))</f>
        <v/>
      </c>
      <c r="AE9">
        <f>IF($B$4=0,0,COUNTIFS('계산'!$E$12:$E$761,"&gt;="&amp;AB9,'계산'!$E$12:$E$761,"&lt;"&amp;AB9+$AB$3))</f>
        <v/>
      </c>
      <c r="AF9">
        <f>IF(AND(ISNUMBER($AO$20),ISNUMBER($AO$18)),$AO$18*$AB$3*NORMDIST(AC9,$AO$19,$AO$20,FALSE),NA())</f>
        <v/>
      </c>
      <c r="AG9">
        <f>IF(AND(ISNUMBER($AO$21),ISNUMBER($AO$18)),$AO$18*$AB$3*NORMDIST(AC9,$AO$19,$AO$21,FALSE),NA())</f>
        <v/>
      </c>
      <c r="AH9">
        <f>IF(ISNUMBER($AO$15),IF(AND($AO$15&gt;=AB9,$AO$15&lt;AB9+$AB$3),$AB$4,NA()),NA())</f>
        <v/>
      </c>
      <c r="AI9">
        <f>IF(ISNUMBER($AO$16),IF(AND($AO$16&gt;=AB9,$AO$16&lt;AB9+$AB$3),$AB$4,NA()),NA())</f>
        <v/>
      </c>
      <c r="AJ9">
        <f>IF(ISNUMBER($AO$17),IF(AND($AO$17&gt;=AB9,$AO$17&lt;AB9+$AB$3),$AB$4,NA()),NA())</f>
        <v/>
      </c>
      <c r="AM9" t="inlineStr">
        <is>
          <t>공정명</t>
        </is>
      </c>
      <c r="AN9">
        <f>IF($B$2="","",IFERROR(INDEX(R_BODY,$B$2,MATCH($AM9,R_HDR,0))&amp;"",""))</f>
        <v/>
      </c>
      <c r="AO9">
        <f>IF(AN9="","",IFERROR(VALUE(AN9),AN9))</f>
        <v/>
      </c>
    </row>
    <row r="10">
      <c r="J10" t="n">
        <v>9</v>
      </c>
      <c r="K10">
        <f>IFERROR(INDEX($C$12:$C$761,MATCH(J10,$F$12:$F$761,0)),"")</f>
        <v/>
      </c>
      <c r="L10">
        <f>COUNTIF($F$12:$F$761,J10)</f>
        <v/>
      </c>
      <c r="M10">
        <f>IF(L10=0,"",AVERAGEIF($F$12:$F$761,J10,$E$12:$E$761))</f>
        <v/>
      </c>
      <c r="N10">
        <f>IF(L10=0,"",MAX(INDEX($E$12:$E$761,MATCH(J10,$F$12:$F$761,0)):INDEX($E$12:$E$761,MATCH(J10,$F$12:$F$761,0)+L10-1))-MIN(INDEX($E$12:$E$761,MATCH(J10,$F$12:$F$761,0)):INDEX($E$12:$E$761,MATCH(J10,$F$12:$F$761,0)+L10-1)))</f>
        <v/>
      </c>
      <c r="O10">
        <f>IF(AND(J10&lt;=$B$5,L10&gt;0),M10,NA())</f>
        <v/>
      </c>
      <c r="P10">
        <f>IF(J10&lt;=$B$5,IF(ISNUMBER($AO$34),$AO$34,NA()),NA())</f>
        <v/>
      </c>
      <c r="Q10">
        <f>IF(J10&lt;=$B$5,IF(ISNUMBER($AO$35),$AO$35,NA()),NA())</f>
        <v/>
      </c>
      <c r="R10">
        <f>IF(J10&lt;=$B$5,IF(ISNUMBER($AO$36),$AO$36,NA()),NA())</f>
        <v/>
      </c>
      <c r="S10">
        <f>IF(AND(J10&lt;=$B$5,L10&gt;0),IF(OR(M10&gt;P10,M10&lt;R10),M10,NA()),NA())</f>
        <v/>
      </c>
      <c r="T10">
        <f>IF(J10&lt;=$B$5,K10,"")</f>
        <v/>
      </c>
      <c r="U10">
        <f>IF(AND(J10&lt;=$B$5,L10&gt;0),N10,NA())</f>
        <v/>
      </c>
      <c r="V10">
        <f>IF(J10&lt;=$B$5,IF(ISNUMBER($AO$37),$AO$37,NA()),NA())</f>
        <v/>
      </c>
      <c r="W10">
        <f>IF(J10&lt;=$B$5,IF(ISNUMBER($AO$38),$AO$38,NA()),NA())</f>
        <v/>
      </c>
      <c r="X10">
        <f>IF(J10&lt;=$B$5,IF(ISNUMBER($AO$39),$AO$39,NA()),NA())</f>
        <v/>
      </c>
      <c r="Y10">
        <f>IF(AND(J10&lt;=$B$5,L10&gt;0),IF(N10&gt;V10,N10,NA()),NA())</f>
        <v/>
      </c>
      <c r="AB10">
        <f>$AB$2+(4-1)*$AB$3</f>
        <v/>
      </c>
      <c r="AC10">
        <f>AB10+$AB$3/2</f>
        <v/>
      </c>
      <c r="AD10">
        <f>TEXT(AC10,IF($AB$3&lt;0.1,"0.00",IF($AB$3&lt;1,"0.0","0")))</f>
        <v/>
      </c>
      <c r="AE10">
        <f>IF($B$4=0,0,COUNTIFS('계산'!$E$12:$E$761,"&gt;="&amp;AB10,'계산'!$E$12:$E$761,"&lt;"&amp;AB10+$AB$3))</f>
        <v/>
      </c>
      <c r="AF10">
        <f>IF(AND(ISNUMBER($AO$20),ISNUMBER($AO$18)),$AO$18*$AB$3*NORMDIST(AC10,$AO$19,$AO$20,FALSE),NA())</f>
        <v/>
      </c>
      <c r="AG10">
        <f>IF(AND(ISNUMBER($AO$21),ISNUMBER($AO$18)),$AO$18*$AB$3*NORMDIST(AC10,$AO$19,$AO$21,FALSE),NA())</f>
        <v/>
      </c>
      <c r="AH10">
        <f>IF(ISNUMBER($AO$15),IF(AND($AO$15&gt;=AB10,$AO$15&lt;AB10+$AB$3),$AB$4,NA()),NA())</f>
        <v/>
      </c>
      <c r="AI10">
        <f>IF(ISNUMBER($AO$16),IF(AND($AO$16&gt;=AB10,$AO$16&lt;AB10+$AB$3),$AB$4,NA()),NA())</f>
        <v/>
      </c>
      <c r="AJ10">
        <f>IF(ISNUMBER($AO$17),IF(AND($AO$17&gt;=AB10,$AO$17&lt;AB10+$AB$3),$AB$4,NA()),NA())</f>
        <v/>
      </c>
      <c r="AM10" t="inlineStr">
        <is>
          <t>항목</t>
        </is>
      </c>
      <c r="AN10">
        <f>IF($B$2="","",IFERROR(INDEX(R_BODY,$B$2,MATCH($AM10,R_HDR,0))&amp;"",""))</f>
        <v/>
      </c>
      <c r="AO10">
        <f>IF(AN10="","",IFERROR(VALUE(AN10),AN10))</f>
        <v/>
      </c>
    </row>
    <row r="11">
      <c r="A11" s="28" t="inlineStr">
        <is>
          <t>i</t>
        </is>
      </c>
      <c r="B11" t="inlineStr">
        <is>
          <t>행</t>
        </is>
      </c>
      <c r="C11" t="inlineStr">
        <is>
          <t>Lot</t>
        </is>
      </c>
      <c r="D11" t="inlineStr">
        <is>
          <t>순번</t>
        </is>
      </c>
      <c r="E11" t="inlineStr">
        <is>
          <t>값</t>
        </is>
      </c>
      <c r="F11" t="inlineStr">
        <is>
          <t>Lot번호</t>
        </is>
      </c>
      <c r="G11" t="inlineStr">
        <is>
          <t>키</t>
        </is>
      </c>
      <c r="J11" t="n">
        <v>10</v>
      </c>
      <c r="K11">
        <f>IFERROR(INDEX($C$12:$C$761,MATCH(J11,$F$12:$F$761,0)),"")</f>
        <v/>
      </c>
      <c r="L11">
        <f>COUNTIF($F$12:$F$761,J11)</f>
        <v/>
      </c>
      <c r="M11">
        <f>IF(L11=0,"",AVERAGEIF($F$12:$F$761,J11,$E$12:$E$761))</f>
        <v/>
      </c>
      <c r="N11">
        <f>IF(L11=0,"",MAX(INDEX($E$12:$E$761,MATCH(J11,$F$12:$F$761,0)):INDEX($E$12:$E$761,MATCH(J11,$F$12:$F$761,0)+L11-1))-MIN(INDEX($E$12:$E$761,MATCH(J11,$F$12:$F$761,0)):INDEX($E$12:$E$761,MATCH(J11,$F$12:$F$761,0)+L11-1)))</f>
        <v/>
      </c>
      <c r="O11">
        <f>IF(AND(J11&lt;=$B$5,L11&gt;0),M11,NA())</f>
        <v/>
      </c>
      <c r="P11">
        <f>IF(J11&lt;=$B$5,IF(ISNUMBER($AO$34),$AO$34,NA()),NA())</f>
        <v/>
      </c>
      <c r="Q11">
        <f>IF(J11&lt;=$B$5,IF(ISNUMBER($AO$35),$AO$35,NA()),NA())</f>
        <v/>
      </c>
      <c r="R11">
        <f>IF(J11&lt;=$B$5,IF(ISNUMBER($AO$36),$AO$36,NA()),NA())</f>
        <v/>
      </c>
      <c r="S11">
        <f>IF(AND(J11&lt;=$B$5,L11&gt;0),IF(OR(M11&gt;P11,M11&lt;R11),M11,NA()),NA())</f>
        <v/>
      </c>
      <c r="T11">
        <f>IF(J11&lt;=$B$5,K11,"")</f>
        <v/>
      </c>
      <c r="U11">
        <f>IF(AND(J11&lt;=$B$5,L11&gt;0),N11,NA())</f>
        <v/>
      </c>
      <c r="V11">
        <f>IF(J11&lt;=$B$5,IF(ISNUMBER($AO$37),$AO$37,NA()),NA())</f>
        <v/>
      </c>
      <c r="W11">
        <f>IF(J11&lt;=$B$5,IF(ISNUMBER($AO$38),$AO$38,NA()),NA())</f>
        <v/>
      </c>
      <c r="X11">
        <f>IF(J11&lt;=$B$5,IF(ISNUMBER($AO$39),$AO$39,NA()),NA())</f>
        <v/>
      </c>
      <c r="Y11">
        <f>IF(AND(J11&lt;=$B$5,L11&gt;0),IF(N11&gt;V11,N11,NA()),NA())</f>
        <v/>
      </c>
      <c r="AB11">
        <f>$AB$2+(5-1)*$AB$3</f>
        <v/>
      </c>
      <c r="AC11">
        <f>AB11+$AB$3/2</f>
        <v/>
      </c>
      <c r="AD11">
        <f>TEXT(AC11,IF($AB$3&lt;0.1,"0.00",IF($AB$3&lt;1,"0.0","0")))</f>
        <v/>
      </c>
      <c r="AE11">
        <f>IF($B$4=0,0,COUNTIFS('계산'!$E$12:$E$761,"&gt;="&amp;AB11,'계산'!$E$12:$E$761,"&lt;"&amp;AB11+$AB$3))</f>
        <v/>
      </c>
      <c r="AF11">
        <f>IF(AND(ISNUMBER($AO$20),ISNUMBER($AO$18)),$AO$18*$AB$3*NORMDIST(AC11,$AO$19,$AO$20,FALSE),NA())</f>
        <v/>
      </c>
      <c r="AG11">
        <f>IF(AND(ISNUMBER($AO$21),ISNUMBER($AO$18)),$AO$18*$AB$3*NORMDIST(AC11,$AO$19,$AO$21,FALSE),NA())</f>
        <v/>
      </c>
      <c r="AH11">
        <f>IF(ISNUMBER($AO$15),IF(AND($AO$15&gt;=AB11,$AO$15&lt;AB11+$AB$3),$AB$4,NA()),NA())</f>
        <v/>
      </c>
      <c r="AI11">
        <f>IF(ISNUMBER($AO$16),IF(AND($AO$16&gt;=AB11,$AO$16&lt;AB11+$AB$3),$AB$4,NA()),NA())</f>
        <v/>
      </c>
      <c r="AJ11">
        <f>IF(ISNUMBER($AO$17),IF(AND($AO$17&gt;=AB11,$AO$17&lt;AB11+$AB$3),$AB$4,NA()),NA())</f>
        <v/>
      </c>
      <c r="AM11" t="inlineStr">
        <is>
          <t>작업자</t>
        </is>
      </c>
      <c r="AN11">
        <f>IF($B$2="","",IFERROR(INDEX(R_BODY,$B$2,MATCH($AM11,R_HDR,0))&amp;"",""))</f>
        <v/>
      </c>
      <c r="AO11">
        <f>IF(AN11="","",IFERROR(VALUE(AN11),AN11))</f>
        <v/>
      </c>
    </row>
    <row r="12">
      <c r="A12" t="n">
        <v>1</v>
      </c>
      <c r="B12">
        <f>IF(A12&lt;=$B$4,$B$3+A12-1,"")</f>
        <v/>
      </c>
      <c r="C12">
        <f>IF(B12="","",INDEX(D_LOT,B12)&amp;"")</f>
        <v/>
      </c>
      <c r="D12">
        <f>IF(B12="","",INDEX(D_SEQ,B12))</f>
        <v/>
      </c>
      <c r="E12">
        <f>IF(B12="","",IFERROR(VALUE(INDEX(D_VAL,B12)&amp;""),""))</f>
        <v/>
      </c>
      <c r="F12">
        <f>IF(B12="","",0+1)</f>
        <v/>
      </c>
      <c r="G12">
        <f>IF(B12="","",F12&amp;"|"&amp;D12)</f>
        <v/>
      </c>
      <c r="J12" t="n">
        <v>11</v>
      </c>
      <c r="K12">
        <f>IFERROR(INDEX($C$12:$C$761,MATCH(J12,$F$12:$F$761,0)),"")</f>
        <v/>
      </c>
      <c r="L12">
        <f>COUNTIF($F$12:$F$761,J12)</f>
        <v/>
      </c>
      <c r="M12">
        <f>IF(L12=0,"",AVERAGEIF($F$12:$F$761,J12,$E$12:$E$761))</f>
        <v/>
      </c>
      <c r="N12">
        <f>IF(L12=0,"",MAX(INDEX($E$12:$E$761,MATCH(J12,$F$12:$F$761,0)):INDEX($E$12:$E$761,MATCH(J12,$F$12:$F$761,0)+L12-1))-MIN(INDEX($E$12:$E$761,MATCH(J12,$F$12:$F$761,0)):INDEX($E$12:$E$761,MATCH(J12,$F$12:$F$761,0)+L12-1)))</f>
        <v/>
      </c>
      <c r="O12">
        <f>IF(AND(J12&lt;=$B$5,L12&gt;0),M12,NA())</f>
        <v/>
      </c>
      <c r="P12">
        <f>IF(J12&lt;=$B$5,IF(ISNUMBER($AO$34),$AO$34,NA()),NA())</f>
        <v/>
      </c>
      <c r="Q12">
        <f>IF(J12&lt;=$B$5,IF(ISNUMBER($AO$35),$AO$35,NA()),NA())</f>
        <v/>
      </c>
      <c r="R12">
        <f>IF(J12&lt;=$B$5,IF(ISNUMBER($AO$36),$AO$36,NA()),NA())</f>
        <v/>
      </c>
      <c r="S12">
        <f>IF(AND(J12&lt;=$B$5,L12&gt;0),IF(OR(M12&gt;P12,M12&lt;R12),M12,NA()),NA())</f>
        <v/>
      </c>
      <c r="T12">
        <f>IF(J12&lt;=$B$5,K12,"")</f>
        <v/>
      </c>
      <c r="U12">
        <f>IF(AND(J12&lt;=$B$5,L12&gt;0),N12,NA())</f>
        <v/>
      </c>
      <c r="V12">
        <f>IF(J12&lt;=$B$5,IF(ISNUMBER($AO$37),$AO$37,NA()),NA())</f>
        <v/>
      </c>
      <c r="W12">
        <f>IF(J12&lt;=$B$5,IF(ISNUMBER($AO$38),$AO$38,NA()),NA())</f>
        <v/>
      </c>
      <c r="X12">
        <f>IF(J12&lt;=$B$5,IF(ISNUMBER($AO$39),$AO$39,NA()),NA())</f>
        <v/>
      </c>
      <c r="Y12">
        <f>IF(AND(J12&lt;=$B$5,L12&gt;0),IF(N12&gt;V12,N12,NA()),NA())</f>
        <v/>
      </c>
      <c r="AB12">
        <f>$AB$2+(6-1)*$AB$3</f>
        <v/>
      </c>
      <c r="AC12">
        <f>AB12+$AB$3/2</f>
        <v/>
      </c>
      <c r="AD12">
        <f>TEXT(AC12,IF($AB$3&lt;0.1,"0.00",IF($AB$3&lt;1,"0.0","0")))</f>
        <v/>
      </c>
      <c r="AE12">
        <f>IF($B$4=0,0,COUNTIFS('계산'!$E$12:$E$761,"&gt;="&amp;AB12,'계산'!$E$12:$E$761,"&lt;"&amp;AB12+$AB$3))</f>
        <v/>
      </c>
      <c r="AF12">
        <f>IF(AND(ISNUMBER($AO$20),ISNUMBER($AO$18)),$AO$18*$AB$3*NORMDIST(AC12,$AO$19,$AO$20,FALSE),NA())</f>
        <v/>
      </c>
      <c r="AG12">
        <f>IF(AND(ISNUMBER($AO$21),ISNUMBER($AO$18)),$AO$18*$AB$3*NORMDIST(AC12,$AO$19,$AO$21,FALSE),NA())</f>
        <v/>
      </c>
      <c r="AH12">
        <f>IF(ISNUMBER($AO$15),IF(AND($AO$15&gt;=AB12,$AO$15&lt;AB12+$AB$3),$AB$4,NA()),NA())</f>
        <v/>
      </c>
      <c r="AI12">
        <f>IF(ISNUMBER($AO$16),IF(AND($AO$16&gt;=AB12,$AO$16&lt;AB12+$AB$3),$AB$4,NA()),NA())</f>
        <v/>
      </c>
      <c r="AJ12">
        <f>IF(ISNUMBER($AO$17),IF(AND($AO$17&gt;=AB12,$AO$17&lt;AB12+$AB$3),$AB$4,NA()),NA())</f>
        <v/>
      </c>
      <c r="AM12" t="inlineStr">
        <is>
          <t>측정일자</t>
        </is>
      </c>
      <c r="AN12">
        <f>IF($B$2="","",IFERROR(INDEX(R_BODY,$B$2,MATCH($AM12,R_HDR,0))&amp;"",""))</f>
        <v/>
      </c>
      <c r="AO12">
        <f>IF(AN12="","",IFERROR(VALUE(AN12),AN12))</f>
        <v/>
      </c>
    </row>
    <row r="13">
      <c r="A13" t="n">
        <v>2</v>
      </c>
      <c r="B13">
        <f>IF(A13&lt;=$B$4,$B$3+A13-1,"")</f>
        <v/>
      </c>
      <c r="C13">
        <f>IF(B13="","",INDEX(D_LOT,B13)&amp;"")</f>
        <v/>
      </c>
      <c r="D13">
        <f>IF(B13="","",INDEX(D_SEQ,B13))</f>
        <v/>
      </c>
      <c r="E13">
        <f>IF(B13="","",IFERROR(VALUE(INDEX(D_VAL,B13)&amp;""),""))</f>
        <v/>
      </c>
      <c r="F13">
        <f>IF(B13="","",F12+(C13&lt;&gt;C12))</f>
        <v/>
      </c>
      <c r="G13">
        <f>IF(B13="","",F13&amp;"|"&amp;D13)</f>
        <v/>
      </c>
      <c r="J13" t="n">
        <v>12</v>
      </c>
      <c r="K13">
        <f>IFERROR(INDEX($C$12:$C$761,MATCH(J13,$F$12:$F$761,0)),"")</f>
        <v/>
      </c>
      <c r="L13">
        <f>COUNTIF($F$12:$F$761,J13)</f>
        <v/>
      </c>
      <c r="M13">
        <f>IF(L13=0,"",AVERAGEIF($F$12:$F$761,J13,$E$12:$E$761))</f>
        <v/>
      </c>
      <c r="N13">
        <f>IF(L13=0,"",MAX(INDEX($E$12:$E$761,MATCH(J13,$F$12:$F$761,0)):INDEX($E$12:$E$761,MATCH(J13,$F$12:$F$761,0)+L13-1))-MIN(INDEX($E$12:$E$761,MATCH(J13,$F$12:$F$761,0)):INDEX($E$12:$E$761,MATCH(J13,$F$12:$F$761,0)+L13-1)))</f>
        <v/>
      </c>
      <c r="O13">
        <f>IF(AND(J13&lt;=$B$5,L13&gt;0),M13,NA())</f>
        <v/>
      </c>
      <c r="P13">
        <f>IF(J13&lt;=$B$5,IF(ISNUMBER($AO$34),$AO$34,NA()),NA())</f>
        <v/>
      </c>
      <c r="Q13">
        <f>IF(J13&lt;=$B$5,IF(ISNUMBER($AO$35),$AO$35,NA()),NA())</f>
        <v/>
      </c>
      <c r="R13">
        <f>IF(J13&lt;=$B$5,IF(ISNUMBER($AO$36),$AO$36,NA()),NA())</f>
        <v/>
      </c>
      <c r="S13">
        <f>IF(AND(J13&lt;=$B$5,L13&gt;0),IF(OR(M13&gt;P13,M13&lt;R13),M13,NA()),NA())</f>
        <v/>
      </c>
      <c r="T13">
        <f>IF(J13&lt;=$B$5,K13,"")</f>
        <v/>
      </c>
      <c r="U13">
        <f>IF(AND(J13&lt;=$B$5,L13&gt;0),N13,NA())</f>
        <v/>
      </c>
      <c r="V13">
        <f>IF(J13&lt;=$B$5,IF(ISNUMBER($AO$37),$AO$37,NA()),NA())</f>
        <v/>
      </c>
      <c r="W13">
        <f>IF(J13&lt;=$B$5,IF(ISNUMBER($AO$38),$AO$38,NA()),NA())</f>
        <v/>
      </c>
      <c r="X13">
        <f>IF(J13&lt;=$B$5,IF(ISNUMBER($AO$39),$AO$39,NA()),NA())</f>
        <v/>
      </c>
      <c r="Y13">
        <f>IF(AND(J13&lt;=$B$5,L13&gt;0),IF(N13&gt;V13,N13,NA()),NA())</f>
        <v/>
      </c>
      <c r="AB13">
        <f>$AB$2+(7-1)*$AB$3</f>
        <v/>
      </c>
      <c r="AC13">
        <f>AB13+$AB$3/2</f>
        <v/>
      </c>
      <c r="AD13">
        <f>TEXT(AC13,IF($AB$3&lt;0.1,"0.00",IF($AB$3&lt;1,"0.0","0")))</f>
        <v/>
      </c>
      <c r="AE13">
        <f>IF($B$4=0,0,COUNTIFS('계산'!$E$12:$E$761,"&gt;="&amp;AB13,'계산'!$E$12:$E$761,"&lt;"&amp;AB13+$AB$3))</f>
        <v/>
      </c>
      <c r="AF13">
        <f>IF(AND(ISNUMBER($AO$20),ISNUMBER($AO$18)),$AO$18*$AB$3*NORMDIST(AC13,$AO$19,$AO$20,FALSE),NA())</f>
        <v/>
      </c>
      <c r="AG13">
        <f>IF(AND(ISNUMBER($AO$21),ISNUMBER($AO$18)),$AO$18*$AB$3*NORMDIST(AC13,$AO$19,$AO$21,FALSE),NA())</f>
        <v/>
      </c>
      <c r="AH13">
        <f>IF(ISNUMBER($AO$15),IF(AND($AO$15&gt;=AB13,$AO$15&lt;AB13+$AB$3),$AB$4,NA()),NA())</f>
        <v/>
      </c>
      <c r="AI13">
        <f>IF(ISNUMBER($AO$16),IF(AND($AO$16&gt;=AB13,$AO$16&lt;AB13+$AB$3),$AB$4,NA()),NA())</f>
        <v/>
      </c>
      <c r="AJ13">
        <f>IF(ISNUMBER($AO$17),IF(AND($AO$17&gt;=AB13,$AO$17&lt;AB13+$AB$3),$AB$4,NA()),NA())</f>
        <v/>
      </c>
      <c r="AM13" t="inlineStr">
        <is>
          <t>데이터배열</t>
        </is>
      </c>
      <c r="AN13">
        <f>IF($B$2="","",IFERROR(INDEX(R_BODY,$B$2,MATCH($AM13,R_HDR,0))&amp;"",""))</f>
        <v/>
      </c>
      <c r="AO13">
        <f>IF(AN13="","",IFERROR(VALUE(AN13),AN13))</f>
        <v/>
      </c>
    </row>
    <row r="14">
      <c r="A14" t="n">
        <v>3</v>
      </c>
      <c r="B14">
        <f>IF(A14&lt;=$B$4,$B$3+A14-1,"")</f>
        <v/>
      </c>
      <c r="C14">
        <f>IF(B14="","",INDEX(D_LOT,B14)&amp;"")</f>
        <v/>
      </c>
      <c r="D14">
        <f>IF(B14="","",INDEX(D_SEQ,B14))</f>
        <v/>
      </c>
      <c r="E14">
        <f>IF(B14="","",IFERROR(VALUE(INDEX(D_VAL,B14)&amp;""),""))</f>
        <v/>
      </c>
      <c r="F14">
        <f>IF(B14="","",F13+(C14&lt;&gt;C13))</f>
        <v/>
      </c>
      <c r="G14">
        <f>IF(B14="","",F14&amp;"|"&amp;D14)</f>
        <v/>
      </c>
      <c r="J14" t="n">
        <v>13</v>
      </c>
      <c r="K14">
        <f>IFERROR(INDEX($C$12:$C$761,MATCH(J14,$F$12:$F$761,0)),"")</f>
        <v/>
      </c>
      <c r="L14">
        <f>COUNTIF($F$12:$F$761,J14)</f>
        <v/>
      </c>
      <c r="M14">
        <f>IF(L14=0,"",AVERAGEIF($F$12:$F$761,J14,$E$12:$E$761))</f>
        <v/>
      </c>
      <c r="N14">
        <f>IF(L14=0,"",MAX(INDEX($E$12:$E$761,MATCH(J14,$F$12:$F$761,0)):INDEX($E$12:$E$761,MATCH(J14,$F$12:$F$761,0)+L14-1))-MIN(INDEX($E$12:$E$761,MATCH(J14,$F$12:$F$761,0)):INDEX($E$12:$E$761,MATCH(J14,$F$12:$F$761,0)+L14-1)))</f>
        <v/>
      </c>
      <c r="O14">
        <f>IF(AND(J14&lt;=$B$5,L14&gt;0),M14,NA())</f>
        <v/>
      </c>
      <c r="P14">
        <f>IF(J14&lt;=$B$5,IF(ISNUMBER($AO$34),$AO$34,NA()),NA())</f>
        <v/>
      </c>
      <c r="Q14">
        <f>IF(J14&lt;=$B$5,IF(ISNUMBER($AO$35),$AO$35,NA()),NA())</f>
        <v/>
      </c>
      <c r="R14">
        <f>IF(J14&lt;=$B$5,IF(ISNUMBER($AO$36),$AO$36,NA()),NA())</f>
        <v/>
      </c>
      <c r="S14">
        <f>IF(AND(J14&lt;=$B$5,L14&gt;0),IF(OR(M14&gt;P14,M14&lt;R14),M14,NA()),NA())</f>
        <v/>
      </c>
      <c r="T14">
        <f>IF(J14&lt;=$B$5,K14,"")</f>
        <v/>
      </c>
      <c r="U14">
        <f>IF(AND(J14&lt;=$B$5,L14&gt;0),N14,NA())</f>
        <v/>
      </c>
      <c r="V14">
        <f>IF(J14&lt;=$B$5,IF(ISNUMBER($AO$37),$AO$37,NA()),NA())</f>
        <v/>
      </c>
      <c r="W14">
        <f>IF(J14&lt;=$B$5,IF(ISNUMBER($AO$38),$AO$38,NA()),NA())</f>
        <v/>
      </c>
      <c r="X14">
        <f>IF(J14&lt;=$B$5,IF(ISNUMBER($AO$39),$AO$39,NA()),NA())</f>
        <v/>
      </c>
      <c r="Y14">
        <f>IF(AND(J14&lt;=$B$5,L14&gt;0),IF(N14&gt;V14,N14,NA()),NA())</f>
        <v/>
      </c>
      <c r="AB14">
        <f>$AB$2+(8-1)*$AB$3</f>
        <v/>
      </c>
      <c r="AC14">
        <f>AB14+$AB$3/2</f>
        <v/>
      </c>
      <c r="AD14">
        <f>TEXT(AC14,IF($AB$3&lt;0.1,"0.00",IF($AB$3&lt;1,"0.0","0")))</f>
        <v/>
      </c>
      <c r="AE14">
        <f>IF($B$4=0,0,COUNTIFS('계산'!$E$12:$E$761,"&gt;="&amp;AB14,'계산'!$E$12:$E$761,"&lt;"&amp;AB14+$AB$3))</f>
        <v/>
      </c>
      <c r="AF14">
        <f>IF(AND(ISNUMBER($AO$20),ISNUMBER($AO$18)),$AO$18*$AB$3*NORMDIST(AC14,$AO$19,$AO$20,FALSE),NA())</f>
        <v/>
      </c>
      <c r="AG14">
        <f>IF(AND(ISNUMBER($AO$21),ISNUMBER($AO$18)),$AO$18*$AB$3*NORMDIST(AC14,$AO$19,$AO$21,FALSE),NA())</f>
        <v/>
      </c>
      <c r="AH14">
        <f>IF(ISNUMBER($AO$15),IF(AND($AO$15&gt;=AB14,$AO$15&lt;AB14+$AB$3),$AB$4,NA()),NA())</f>
        <v/>
      </c>
      <c r="AI14">
        <f>IF(ISNUMBER($AO$16),IF(AND($AO$16&gt;=AB14,$AO$16&lt;AB14+$AB$3),$AB$4,NA()),NA())</f>
        <v/>
      </c>
      <c r="AJ14">
        <f>IF(ISNUMBER($AO$17),IF(AND($AO$17&gt;=AB14,$AO$17&lt;AB14+$AB$3),$AB$4,NA()),NA())</f>
        <v/>
      </c>
      <c r="AM14" t="inlineStr">
        <is>
          <t>부분군(개수x크기)</t>
        </is>
      </c>
      <c r="AN14">
        <f>IF($B$2="","",IFERROR(INDEX(R_BODY,$B$2,MATCH($AM14,R_HDR,0))&amp;"",""))</f>
        <v/>
      </c>
      <c r="AO14">
        <f>IF(AN14="","",IFERROR(VALUE(AN14),AN14))</f>
        <v/>
      </c>
    </row>
    <row r="15">
      <c r="A15" t="n">
        <v>4</v>
      </c>
      <c r="B15">
        <f>IF(A15&lt;=$B$4,$B$3+A15-1,"")</f>
        <v/>
      </c>
      <c r="C15">
        <f>IF(B15="","",INDEX(D_LOT,B15)&amp;"")</f>
        <v/>
      </c>
      <c r="D15">
        <f>IF(B15="","",INDEX(D_SEQ,B15))</f>
        <v/>
      </c>
      <c r="E15">
        <f>IF(B15="","",IFERROR(VALUE(INDEX(D_VAL,B15)&amp;""),""))</f>
        <v/>
      </c>
      <c r="F15">
        <f>IF(B15="","",F14+(C15&lt;&gt;C14))</f>
        <v/>
      </c>
      <c r="G15">
        <f>IF(B15="","",F15&amp;"|"&amp;D15)</f>
        <v/>
      </c>
      <c r="J15" t="n">
        <v>14</v>
      </c>
      <c r="K15">
        <f>IFERROR(INDEX($C$12:$C$761,MATCH(J15,$F$12:$F$761,0)),"")</f>
        <v/>
      </c>
      <c r="L15">
        <f>COUNTIF($F$12:$F$761,J15)</f>
        <v/>
      </c>
      <c r="M15">
        <f>IF(L15=0,"",AVERAGEIF($F$12:$F$761,J15,$E$12:$E$761))</f>
        <v/>
      </c>
      <c r="N15">
        <f>IF(L15=0,"",MAX(INDEX($E$12:$E$761,MATCH(J15,$F$12:$F$761,0)):INDEX($E$12:$E$761,MATCH(J15,$F$12:$F$761,0)+L15-1))-MIN(INDEX($E$12:$E$761,MATCH(J15,$F$12:$F$761,0)):INDEX($E$12:$E$761,MATCH(J15,$F$12:$F$761,0)+L15-1)))</f>
        <v/>
      </c>
      <c r="O15">
        <f>IF(AND(J15&lt;=$B$5,L15&gt;0),M15,NA())</f>
        <v/>
      </c>
      <c r="P15">
        <f>IF(J15&lt;=$B$5,IF(ISNUMBER($AO$34),$AO$34,NA()),NA())</f>
        <v/>
      </c>
      <c r="Q15">
        <f>IF(J15&lt;=$B$5,IF(ISNUMBER($AO$35),$AO$35,NA()),NA())</f>
        <v/>
      </c>
      <c r="R15">
        <f>IF(J15&lt;=$B$5,IF(ISNUMBER($AO$36),$AO$36,NA()),NA())</f>
        <v/>
      </c>
      <c r="S15">
        <f>IF(AND(J15&lt;=$B$5,L15&gt;0),IF(OR(M15&gt;P15,M15&lt;R15),M15,NA()),NA())</f>
        <v/>
      </c>
      <c r="T15">
        <f>IF(J15&lt;=$B$5,K15,"")</f>
        <v/>
      </c>
      <c r="U15">
        <f>IF(AND(J15&lt;=$B$5,L15&gt;0),N15,NA())</f>
        <v/>
      </c>
      <c r="V15">
        <f>IF(J15&lt;=$B$5,IF(ISNUMBER($AO$37),$AO$37,NA()),NA())</f>
        <v/>
      </c>
      <c r="W15">
        <f>IF(J15&lt;=$B$5,IF(ISNUMBER($AO$38),$AO$38,NA()),NA())</f>
        <v/>
      </c>
      <c r="X15">
        <f>IF(J15&lt;=$B$5,IF(ISNUMBER($AO$39),$AO$39,NA()),NA())</f>
        <v/>
      </c>
      <c r="Y15">
        <f>IF(AND(J15&lt;=$B$5,L15&gt;0),IF(N15&gt;V15,N15,NA()),NA())</f>
        <v/>
      </c>
      <c r="AB15">
        <f>$AB$2+(9-1)*$AB$3</f>
        <v/>
      </c>
      <c r="AC15">
        <f>AB15+$AB$3/2</f>
        <v/>
      </c>
      <c r="AD15">
        <f>TEXT(AC15,IF($AB$3&lt;0.1,"0.00",IF($AB$3&lt;1,"0.0","0")))</f>
        <v/>
      </c>
      <c r="AE15">
        <f>IF($B$4=0,0,COUNTIFS('계산'!$E$12:$E$761,"&gt;="&amp;AB15,'계산'!$E$12:$E$761,"&lt;"&amp;AB15+$AB$3))</f>
        <v/>
      </c>
      <c r="AF15">
        <f>IF(AND(ISNUMBER($AO$20),ISNUMBER($AO$18)),$AO$18*$AB$3*NORMDIST(AC15,$AO$19,$AO$20,FALSE),NA())</f>
        <v/>
      </c>
      <c r="AG15">
        <f>IF(AND(ISNUMBER($AO$21),ISNUMBER($AO$18)),$AO$18*$AB$3*NORMDIST(AC15,$AO$19,$AO$21,FALSE),NA())</f>
        <v/>
      </c>
      <c r="AH15">
        <f>IF(ISNUMBER($AO$15),IF(AND($AO$15&gt;=AB15,$AO$15&lt;AB15+$AB$3),$AB$4,NA()),NA())</f>
        <v/>
      </c>
      <c r="AI15">
        <f>IF(ISNUMBER($AO$16),IF(AND($AO$16&gt;=AB15,$AO$16&lt;AB15+$AB$3),$AB$4,NA()),NA())</f>
        <v/>
      </c>
      <c r="AJ15">
        <f>IF(ISNUMBER($AO$17),IF(AND($AO$17&gt;=AB15,$AO$17&lt;AB15+$AB$3),$AB$4,NA()),NA())</f>
        <v/>
      </c>
      <c r="AM15" t="inlineStr">
        <is>
          <t>LSL</t>
        </is>
      </c>
      <c r="AN15">
        <f>IF($B$2="","",IFERROR(INDEX(R_BODY,$B$2,MATCH($AM15,R_HDR,0))&amp;"",""))</f>
        <v/>
      </c>
      <c r="AO15">
        <f>IF(AN15="","",IFERROR(VALUE(AN15),AN15))</f>
        <v/>
      </c>
    </row>
    <row r="16">
      <c r="A16" t="n">
        <v>5</v>
      </c>
      <c r="B16">
        <f>IF(A16&lt;=$B$4,$B$3+A16-1,"")</f>
        <v/>
      </c>
      <c r="C16">
        <f>IF(B16="","",INDEX(D_LOT,B16)&amp;"")</f>
        <v/>
      </c>
      <c r="D16">
        <f>IF(B16="","",INDEX(D_SEQ,B16))</f>
        <v/>
      </c>
      <c r="E16">
        <f>IF(B16="","",IFERROR(VALUE(INDEX(D_VAL,B16)&amp;""),""))</f>
        <v/>
      </c>
      <c r="F16">
        <f>IF(B16="","",F15+(C16&lt;&gt;C15))</f>
        <v/>
      </c>
      <c r="G16">
        <f>IF(B16="","",F16&amp;"|"&amp;D16)</f>
        <v/>
      </c>
      <c r="J16" t="n">
        <v>15</v>
      </c>
      <c r="K16">
        <f>IFERROR(INDEX($C$12:$C$761,MATCH(J16,$F$12:$F$761,0)),"")</f>
        <v/>
      </c>
      <c r="L16">
        <f>COUNTIF($F$12:$F$761,J16)</f>
        <v/>
      </c>
      <c r="M16">
        <f>IF(L16=0,"",AVERAGEIF($F$12:$F$761,J16,$E$12:$E$761))</f>
        <v/>
      </c>
      <c r="N16">
        <f>IF(L16=0,"",MAX(INDEX($E$12:$E$761,MATCH(J16,$F$12:$F$761,0)):INDEX($E$12:$E$761,MATCH(J16,$F$12:$F$761,0)+L16-1))-MIN(INDEX($E$12:$E$761,MATCH(J16,$F$12:$F$761,0)):INDEX($E$12:$E$761,MATCH(J16,$F$12:$F$761,0)+L16-1)))</f>
        <v/>
      </c>
      <c r="O16">
        <f>IF(AND(J16&lt;=$B$5,L16&gt;0),M16,NA())</f>
        <v/>
      </c>
      <c r="P16">
        <f>IF(J16&lt;=$B$5,IF(ISNUMBER($AO$34),$AO$34,NA()),NA())</f>
        <v/>
      </c>
      <c r="Q16">
        <f>IF(J16&lt;=$B$5,IF(ISNUMBER($AO$35),$AO$35,NA()),NA())</f>
        <v/>
      </c>
      <c r="R16">
        <f>IF(J16&lt;=$B$5,IF(ISNUMBER($AO$36),$AO$36,NA()),NA())</f>
        <v/>
      </c>
      <c r="S16">
        <f>IF(AND(J16&lt;=$B$5,L16&gt;0),IF(OR(M16&gt;P16,M16&lt;R16),M16,NA()),NA())</f>
        <v/>
      </c>
      <c r="T16">
        <f>IF(J16&lt;=$B$5,K16,"")</f>
        <v/>
      </c>
      <c r="U16">
        <f>IF(AND(J16&lt;=$B$5,L16&gt;0),N16,NA())</f>
        <v/>
      </c>
      <c r="V16">
        <f>IF(J16&lt;=$B$5,IF(ISNUMBER($AO$37),$AO$37,NA()),NA())</f>
        <v/>
      </c>
      <c r="W16">
        <f>IF(J16&lt;=$B$5,IF(ISNUMBER($AO$38),$AO$38,NA()),NA())</f>
        <v/>
      </c>
      <c r="X16">
        <f>IF(J16&lt;=$B$5,IF(ISNUMBER($AO$39),$AO$39,NA()),NA())</f>
        <v/>
      </c>
      <c r="Y16">
        <f>IF(AND(J16&lt;=$B$5,L16&gt;0),IF(N16&gt;V16,N16,NA()),NA())</f>
        <v/>
      </c>
      <c r="AB16">
        <f>$AB$2+(10-1)*$AB$3</f>
        <v/>
      </c>
      <c r="AC16">
        <f>AB16+$AB$3/2</f>
        <v/>
      </c>
      <c r="AD16">
        <f>TEXT(AC16,IF($AB$3&lt;0.1,"0.00",IF($AB$3&lt;1,"0.0","0")))</f>
        <v/>
      </c>
      <c r="AE16">
        <f>IF($B$4=0,0,COUNTIFS('계산'!$E$12:$E$761,"&gt;="&amp;AB16,'계산'!$E$12:$E$761,"&lt;"&amp;AB16+$AB$3))</f>
        <v/>
      </c>
      <c r="AF16">
        <f>IF(AND(ISNUMBER($AO$20),ISNUMBER($AO$18)),$AO$18*$AB$3*NORMDIST(AC16,$AO$19,$AO$20,FALSE),NA())</f>
        <v/>
      </c>
      <c r="AG16">
        <f>IF(AND(ISNUMBER($AO$21),ISNUMBER($AO$18)),$AO$18*$AB$3*NORMDIST(AC16,$AO$19,$AO$21,FALSE),NA())</f>
        <v/>
      </c>
      <c r="AH16">
        <f>IF(ISNUMBER($AO$15),IF(AND($AO$15&gt;=AB16,$AO$15&lt;AB16+$AB$3),$AB$4,NA()),NA())</f>
        <v/>
      </c>
      <c r="AI16">
        <f>IF(ISNUMBER($AO$16),IF(AND($AO$16&gt;=AB16,$AO$16&lt;AB16+$AB$3),$AB$4,NA()),NA())</f>
        <v/>
      </c>
      <c r="AJ16">
        <f>IF(ISNUMBER($AO$17),IF(AND($AO$17&gt;=AB16,$AO$17&lt;AB16+$AB$3),$AB$4,NA()),NA())</f>
        <v/>
      </c>
      <c r="AM16" t="inlineStr">
        <is>
          <t>Target</t>
        </is>
      </c>
      <c r="AN16">
        <f>IF($B$2="","",IFERROR(INDEX(R_BODY,$B$2,MATCH($AM16,R_HDR,0))&amp;"",""))</f>
        <v/>
      </c>
      <c r="AO16">
        <f>IF(AN16="","",IFERROR(VALUE(AN16),AN16))</f>
        <v/>
      </c>
    </row>
    <row r="17">
      <c r="A17" t="n">
        <v>6</v>
      </c>
      <c r="B17">
        <f>IF(A17&lt;=$B$4,$B$3+A17-1,"")</f>
        <v/>
      </c>
      <c r="C17">
        <f>IF(B17="","",INDEX(D_LOT,B17)&amp;"")</f>
        <v/>
      </c>
      <c r="D17">
        <f>IF(B17="","",INDEX(D_SEQ,B17))</f>
        <v/>
      </c>
      <c r="E17">
        <f>IF(B17="","",IFERROR(VALUE(INDEX(D_VAL,B17)&amp;""),""))</f>
        <v/>
      </c>
      <c r="F17">
        <f>IF(B17="","",F16+(C17&lt;&gt;C16))</f>
        <v/>
      </c>
      <c r="G17">
        <f>IF(B17="","",F17&amp;"|"&amp;D17)</f>
        <v/>
      </c>
      <c r="J17" t="n">
        <v>16</v>
      </c>
      <c r="K17">
        <f>IFERROR(INDEX($C$12:$C$761,MATCH(J17,$F$12:$F$761,0)),"")</f>
        <v/>
      </c>
      <c r="L17">
        <f>COUNTIF($F$12:$F$761,J17)</f>
        <v/>
      </c>
      <c r="M17">
        <f>IF(L17=0,"",AVERAGEIF($F$12:$F$761,J17,$E$12:$E$761))</f>
        <v/>
      </c>
      <c r="N17">
        <f>IF(L17=0,"",MAX(INDEX($E$12:$E$761,MATCH(J17,$F$12:$F$761,0)):INDEX($E$12:$E$761,MATCH(J17,$F$12:$F$761,0)+L17-1))-MIN(INDEX($E$12:$E$761,MATCH(J17,$F$12:$F$761,0)):INDEX($E$12:$E$761,MATCH(J17,$F$12:$F$761,0)+L17-1)))</f>
        <v/>
      </c>
      <c r="O17">
        <f>IF(AND(J17&lt;=$B$5,L17&gt;0),M17,NA())</f>
        <v/>
      </c>
      <c r="P17">
        <f>IF(J17&lt;=$B$5,IF(ISNUMBER($AO$34),$AO$34,NA()),NA())</f>
        <v/>
      </c>
      <c r="Q17">
        <f>IF(J17&lt;=$B$5,IF(ISNUMBER($AO$35),$AO$35,NA()),NA())</f>
        <v/>
      </c>
      <c r="R17">
        <f>IF(J17&lt;=$B$5,IF(ISNUMBER($AO$36),$AO$36,NA()),NA())</f>
        <v/>
      </c>
      <c r="S17">
        <f>IF(AND(J17&lt;=$B$5,L17&gt;0),IF(OR(M17&gt;P17,M17&lt;R17),M17,NA()),NA())</f>
        <v/>
      </c>
      <c r="T17">
        <f>IF(J17&lt;=$B$5,K17,"")</f>
        <v/>
      </c>
      <c r="U17">
        <f>IF(AND(J17&lt;=$B$5,L17&gt;0),N17,NA())</f>
        <v/>
      </c>
      <c r="V17">
        <f>IF(J17&lt;=$B$5,IF(ISNUMBER($AO$37),$AO$37,NA()),NA())</f>
        <v/>
      </c>
      <c r="W17">
        <f>IF(J17&lt;=$B$5,IF(ISNUMBER($AO$38),$AO$38,NA()),NA())</f>
        <v/>
      </c>
      <c r="X17">
        <f>IF(J17&lt;=$B$5,IF(ISNUMBER($AO$39),$AO$39,NA()),NA())</f>
        <v/>
      </c>
      <c r="Y17">
        <f>IF(AND(J17&lt;=$B$5,L17&gt;0),IF(N17&gt;V17,N17,NA()),NA())</f>
        <v/>
      </c>
      <c r="AB17">
        <f>$AB$2+(11-1)*$AB$3</f>
        <v/>
      </c>
      <c r="AC17">
        <f>AB17+$AB$3/2</f>
        <v/>
      </c>
      <c r="AD17">
        <f>TEXT(AC17,IF($AB$3&lt;0.1,"0.00",IF($AB$3&lt;1,"0.0","0")))</f>
        <v/>
      </c>
      <c r="AE17">
        <f>IF($B$4=0,0,COUNTIFS('계산'!$E$12:$E$761,"&gt;="&amp;AB17,'계산'!$E$12:$E$761,"&lt;"&amp;AB17+$AB$3))</f>
        <v/>
      </c>
      <c r="AF17">
        <f>IF(AND(ISNUMBER($AO$20),ISNUMBER($AO$18)),$AO$18*$AB$3*NORMDIST(AC17,$AO$19,$AO$20,FALSE),NA())</f>
        <v/>
      </c>
      <c r="AG17">
        <f>IF(AND(ISNUMBER($AO$21),ISNUMBER($AO$18)),$AO$18*$AB$3*NORMDIST(AC17,$AO$19,$AO$21,FALSE),NA())</f>
        <v/>
      </c>
      <c r="AH17">
        <f>IF(ISNUMBER($AO$15),IF(AND($AO$15&gt;=AB17,$AO$15&lt;AB17+$AB$3),$AB$4,NA()),NA())</f>
        <v/>
      </c>
      <c r="AI17">
        <f>IF(ISNUMBER($AO$16),IF(AND($AO$16&gt;=AB17,$AO$16&lt;AB17+$AB$3),$AB$4,NA()),NA())</f>
        <v/>
      </c>
      <c r="AJ17">
        <f>IF(ISNUMBER($AO$17),IF(AND($AO$17&gt;=AB17,$AO$17&lt;AB17+$AB$3),$AB$4,NA()),NA())</f>
        <v/>
      </c>
      <c r="AM17" t="inlineStr">
        <is>
          <t>USL</t>
        </is>
      </c>
      <c r="AN17">
        <f>IF($B$2="","",IFERROR(INDEX(R_BODY,$B$2,MATCH($AM17,R_HDR,0))&amp;"",""))</f>
        <v/>
      </c>
      <c r="AO17">
        <f>IF(AN17="","",IFERROR(VALUE(AN17),AN17))</f>
        <v/>
      </c>
    </row>
    <row r="18">
      <c r="A18" t="n">
        <v>7</v>
      </c>
      <c r="B18">
        <f>IF(A18&lt;=$B$4,$B$3+A18-1,"")</f>
        <v/>
      </c>
      <c r="C18">
        <f>IF(B18="","",INDEX(D_LOT,B18)&amp;"")</f>
        <v/>
      </c>
      <c r="D18">
        <f>IF(B18="","",INDEX(D_SEQ,B18))</f>
        <v/>
      </c>
      <c r="E18">
        <f>IF(B18="","",IFERROR(VALUE(INDEX(D_VAL,B18)&amp;""),""))</f>
        <v/>
      </c>
      <c r="F18">
        <f>IF(B18="","",F17+(C18&lt;&gt;C17))</f>
        <v/>
      </c>
      <c r="G18">
        <f>IF(B18="","",F18&amp;"|"&amp;D18)</f>
        <v/>
      </c>
      <c r="J18" t="n">
        <v>17</v>
      </c>
      <c r="K18">
        <f>IFERROR(INDEX($C$12:$C$761,MATCH(J18,$F$12:$F$761,0)),"")</f>
        <v/>
      </c>
      <c r="L18">
        <f>COUNTIF($F$12:$F$761,J18)</f>
        <v/>
      </c>
      <c r="M18">
        <f>IF(L18=0,"",AVERAGEIF($F$12:$F$761,J18,$E$12:$E$761))</f>
        <v/>
      </c>
      <c r="N18">
        <f>IF(L18=0,"",MAX(INDEX($E$12:$E$761,MATCH(J18,$F$12:$F$761,0)):INDEX($E$12:$E$761,MATCH(J18,$F$12:$F$761,0)+L18-1))-MIN(INDEX($E$12:$E$761,MATCH(J18,$F$12:$F$761,0)):INDEX($E$12:$E$761,MATCH(J18,$F$12:$F$761,0)+L18-1)))</f>
        <v/>
      </c>
      <c r="O18">
        <f>IF(AND(J18&lt;=$B$5,L18&gt;0),M18,NA())</f>
        <v/>
      </c>
      <c r="P18">
        <f>IF(J18&lt;=$B$5,IF(ISNUMBER($AO$34),$AO$34,NA()),NA())</f>
        <v/>
      </c>
      <c r="Q18">
        <f>IF(J18&lt;=$B$5,IF(ISNUMBER($AO$35),$AO$35,NA()),NA())</f>
        <v/>
      </c>
      <c r="R18">
        <f>IF(J18&lt;=$B$5,IF(ISNUMBER($AO$36),$AO$36,NA()),NA())</f>
        <v/>
      </c>
      <c r="S18">
        <f>IF(AND(J18&lt;=$B$5,L18&gt;0),IF(OR(M18&gt;P18,M18&lt;R18),M18,NA()),NA())</f>
        <v/>
      </c>
      <c r="T18">
        <f>IF(J18&lt;=$B$5,K18,"")</f>
        <v/>
      </c>
      <c r="U18">
        <f>IF(AND(J18&lt;=$B$5,L18&gt;0),N18,NA())</f>
        <v/>
      </c>
      <c r="V18">
        <f>IF(J18&lt;=$B$5,IF(ISNUMBER($AO$37),$AO$37,NA()),NA())</f>
        <v/>
      </c>
      <c r="W18">
        <f>IF(J18&lt;=$B$5,IF(ISNUMBER($AO$38),$AO$38,NA()),NA())</f>
        <v/>
      </c>
      <c r="X18">
        <f>IF(J18&lt;=$B$5,IF(ISNUMBER($AO$39),$AO$39,NA()),NA())</f>
        <v/>
      </c>
      <c r="Y18">
        <f>IF(AND(J18&lt;=$B$5,L18&gt;0),IF(N18&gt;V18,N18,NA()),NA())</f>
        <v/>
      </c>
      <c r="AB18">
        <f>$AB$2+(12-1)*$AB$3</f>
        <v/>
      </c>
      <c r="AC18">
        <f>AB18+$AB$3/2</f>
        <v/>
      </c>
      <c r="AD18">
        <f>TEXT(AC18,IF($AB$3&lt;0.1,"0.00",IF($AB$3&lt;1,"0.0","0")))</f>
        <v/>
      </c>
      <c r="AE18">
        <f>IF($B$4=0,0,COUNTIFS('계산'!$E$12:$E$761,"&gt;="&amp;AB18,'계산'!$E$12:$E$761,"&lt;"&amp;AB18+$AB$3))</f>
        <v/>
      </c>
      <c r="AF18">
        <f>IF(AND(ISNUMBER($AO$20),ISNUMBER($AO$18)),$AO$18*$AB$3*NORMDIST(AC18,$AO$19,$AO$20,FALSE),NA())</f>
        <v/>
      </c>
      <c r="AG18">
        <f>IF(AND(ISNUMBER($AO$21),ISNUMBER($AO$18)),$AO$18*$AB$3*NORMDIST(AC18,$AO$19,$AO$21,FALSE),NA())</f>
        <v/>
      </c>
      <c r="AH18">
        <f>IF(ISNUMBER($AO$15),IF(AND($AO$15&gt;=AB18,$AO$15&lt;AB18+$AB$3),$AB$4,NA()),NA())</f>
        <v/>
      </c>
      <c r="AI18">
        <f>IF(ISNUMBER($AO$16),IF(AND($AO$16&gt;=AB18,$AO$16&lt;AB18+$AB$3),$AB$4,NA()),NA())</f>
        <v/>
      </c>
      <c r="AJ18">
        <f>IF(ISNUMBER($AO$17),IF(AND($AO$17&gt;=AB18,$AO$17&lt;AB18+$AB$3),$AB$4,NA()),NA())</f>
        <v/>
      </c>
      <c r="AM18" t="inlineStr">
        <is>
          <t>N</t>
        </is>
      </c>
      <c r="AN18">
        <f>IF($B$2="","",IFERROR(INDEX(R_BODY,$B$2,MATCH($AM18,R_HDR,0))&amp;"",""))</f>
        <v/>
      </c>
      <c r="AO18">
        <f>IF(AN18="","",IFERROR(VALUE(AN18),AN18))</f>
        <v/>
      </c>
    </row>
    <row r="19">
      <c r="A19" t="n">
        <v>8</v>
      </c>
      <c r="B19">
        <f>IF(A19&lt;=$B$4,$B$3+A19-1,"")</f>
        <v/>
      </c>
      <c r="C19">
        <f>IF(B19="","",INDEX(D_LOT,B19)&amp;"")</f>
        <v/>
      </c>
      <c r="D19">
        <f>IF(B19="","",INDEX(D_SEQ,B19))</f>
        <v/>
      </c>
      <c r="E19">
        <f>IF(B19="","",IFERROR(VALUE(INDEX(D_VAL,B19)&amp;""),""))</f>
        <v/>
      </c>
      <c r="F19">
        <f>IF(B19="","",F18+(C19&lt;&gt;C18))</f>
        <v/>
      </c>
      <c r="G19">
        <f>IF(B19="","",F19&amp;"|"&amp;D19)</f>
        <v/>
      </c>
      <c r="J19" t="n">
        <v>18</v>
      </c>
      <c r="K19">
        <f>IFERROR(INDEX($C$12:$C$761,MATCH(J19,$F$12:$F$761,0)),"")</f>
        <v/>
      </c>
      <c r="L19">
        <f>COUNTIF($F$12:$F$761,J19)</f>
        <v/>
      </c>
      <c r="M19">
        <f>IF(L19=0,"",AVERAGEIF($F$12:$F$761,J19,$E$12:$E$761))</f>
        <v/>
      </c>
      <c r="N19">
        <f>IF(L19=0,"",MAX(INDEX($E$12:$E$761,MATCH(J19,$F$12:$F$761,0)):INDEX($E$12:$E$761,MATCH(J19,$F$12:$F$761,0)+L19-1))-MIN(INDEX($E$12:$E$761,MATCH(J19,$F$12:$F$761,0)):INDEX($E$12:$E$761,MATCH(J19,$F$12:$F$761,0)+L19-1)))</f>
        <v/>
      </c>
      <c r="O19">
        <f>IF(AND(J19&lt;=$B$5,L19&gt;0),M19,NA())</f>
        <v/>
      </c>
      <c r="P19">
        <f>IF(J19&lt;=$B$5,IF(ISNUMBER($AO$34),$AO$34,NA()),NA())</f>
        <v/>
      </c>
      <c r="Q19">
        <f>IF(J19&lt;=$B$5,IF(ISNUMBER($AO$35),$AO$35,NA()),NA())</f>
        <v/>
      </c>
      <c r="R19">
        <f>IF(J19&lt;=$B$5,IF(ISNUMBER($AO$36),$AO$36,NA()),NA())</f>
        <v/>
      </c>
      <c r="S19">
        <f>IF(AND(J19&lt;=$B$5,L19&gt;0),IF(OR(M19&gt;P19,M19&lt;R19),M19,NA()),NA())</f>
        <v/>
      </c>
      <c r="T19">
        <f>IF(J19&lt;=$B$5,K19,"")</f>
        <v/>
      </c>
      <c r="U19">
        <f>IF(AND(J19&lt;=$B$5,L19&gt;0),N19,NA())</f>
        <v/>
      </c>
      <c r="V19">
        <f>IF(J19&lt;=$B$5,IF(ISNUMBER($AO$37),$AO$37,NA()),NA())</f>
        <v/>
      </c>
      <c r="W19">
        <f>IF(J19&lt;=$B$5,IF(ISNUMBER($AO$38),$AO$38,NA()),NA())</f>
        <v/>
      </c>
      <c r="X19">
        <f>IF(J19&lt;=$B$5,IF(ISNUMBER($AO$39),$AO$39,NA()),NA())</f>
        <v/>
      </c>
      <c r="Y19">
        <f>IF(AND(J19&lt;=$B$5,L19&gt;0),IF(N19&gt;V19,N19,NA()),NA())</f>
        <v/>
      </c>
      <c r="AB19">
        <f>$AB$2+(13-1)*$AB$3</f>
        <v/>
      </c>
      <c r="AC19">
        <f>AB19+$AB$3/2</f>
        <v/>
      </c>
      <c r="AD19">
        <f>TEXT(AC19,IF($AB$3&lt;0.1,"0.00",IF($AB$3&lt;1,"0.0","0")))</f>
        <v/>
      </c>
      <c r="AE19">
        <f>IF($B$4=0,0,COUNTIFS('계산'!$E$12:$E$761,"&gt;="&amp;AB19,'계산'!$E$12:$E$761,"&lt;"&amp;AB19+$AB$3))</f>
        <v/>
      </c>
      <c r="AF19">
        <f>IF(AND(ISNUMBER($AO$20),ISNUMBER($AO$18)),$AO$18*$AB$3*NORMDIST(AC19,$AO$19,$AO$20,FALSE),NA())</f>
        <v/>
      </c>
      <c r="AG19">
        <f>IF(AND(ISNUMBER($AO$21),ISNUMBER($AO$18)),$AO$18*$AB$3*NORMDIST(AC19,$AO$19,$AO$21,FALSE),NA())</f>
        <v/>
      </c>
      <c r="AH19">
        <f>IF(ISNUMBER($AO$15),IF(AND($AO$15&gt;=AB19,$AO$15&lt;AB19+$AB$3),$AB$4,NA()),NA())</f>
        <v/>
      </c>
      <c r="AI19">
        <f>IF(ISNUMBER($AO$16),IF(AND($AO$16&gt;=AB19,$AO$16&lt;AB19+$AB$3),$AB$4,NA()),NA())</f>
        <v/>
      </c>
      <c r="AJ19">
        <f>IF(ISNUMBER($AO$17),IF(AND($AO$17&gt;=AB19,$AO$17&lt;AB19+$AB$3),$AB$4,NA()),NA())</f>
        <v/>
      </c>
      <c r="AM19" t="inlineStr">
        <is>
          <t>평균</t>
        </is>
      </c>
      <c r="AN19">
        <f>IF($B$2="","",IFERROR(INDEX(R_BODY,$B$2,MATCH($AM19,R_HDR,0))&amp;"",""))</f>
        <v/>
      </c>
      <c r="AO19">
        <f>IF(AN19="","",IFERROR(VALUE(AN19),AN19))</f>
        <v/>
      </c>
    </row>
    <row r="20">
      <c r="A20" t="n">
        <v>9</v>
      </c>
      <c r="B20">
        <f>IF(A20&lt;=$B$4,$B$3+A20-1,"")</f>
        <v/>
      </c>
      <c r="C20">
        <f>IF(B20="","",INDEX(D_LOT,B20)&amp;"")</f>
        <v/>
      </c>
      <c r="D20">
        <f>IF(B20="","",INDEX(D_SEQ,B20))</f>
        <v/>
      </c>
      <c r="E20">
        <f>IF(B20="","",IFERROR(VALUE(INDEX(D_VAL,B20)&amp;""),""))</f>
        <v/>
      </c>
      <c r="F20">
        <f>IF(B20="","",F19+(C20&lt;&gt;C19))</f>
        <v/>
      </c>
      <c r="G20">
        <f>IF(B20="","",F20&amp;"|"&amp;D20)</f>
        <v/>
      </c>
      <c r="J20" t="n">
        <v>19</v>
      </c>
      <c r="K20">
        <f>IFERROR(INDEX($C$12:$C$761,MATCH(J20,$F$12:$F$761,0)),"")</f>
        <v/>
      </c>
      <c r="L20">
        <f>COUNTIF($F$12:$F$761,J20)</f>
        <v/>
      </c>
      <c r="M20">
        <f>IF(L20=0,"",AVERAGEIF($F$12:$F$761,J20,$E$12:$E$761))</f>
        <v/>
      </c>
      <c r="N20">
        <f>IF(L20=0,"",MAX(INDEX($E$12:$E$761,MATCH(J20,$F$12:$F$761,0)):INDEX($E$12:$E$761,MATCH(J20,$F$12:$F$761,0)+L20-1))-MIN(INDEX($E$12:$E$761,MATCH(J20,$F$12:$F$761,0)):INDEX($E$12:$E$761,MATCH(J20,$F$12:$F$761,0)+L20-1)))</f>
        <v/>
      </c>
      <c r="O20">
        <f>IF(AND(J20&lt;=$B$5,L20&gt;0),M20,NA())</f>
        <v/>
      </c>
      <c r="P20">
        <f>IF(J20&lt;=$B$5,IF(ISNUMBER($AO$34),$AO$34,NA()),NA())</f>
        <v/>
      </c>
      <c r="Q20">
        <f>IF(J20&lt;=$B$5,IF(ISNUMBER($AO$35),$AO$35,NA()),NA())</f>
        <v/>
      </c>
      <c r="R20">
        <f>IF(J20&lt;=$B$5,IF(ISNUMBER($AO$36),$AO$36,NA()),NA())</f>
        <v/>
      </c>
      <c r="S20">
        <f>IF(AND(J20&lt;=$B$5,L20&gt;0),IF(OR(M20&gt;P20,M20&lt;R20),M20,NA()),NA())</f>
        <v/>
      </c>
      <c r="T20">
        <f>IF(J20&lt;=$B$5,K20,"")</f>
        <v/>
      </c>
      <c r="U20">
        <f>IF(AND(J20&lt;=$B$5,L20&gt;0),N20,NA())</f>
        <v/>
      </c>
      <c r="V20">
        <f>IF(J20&lt;=$B$5,IF(ISNUMBER($AO$37),$AO$37,NA()),NA())</f>
        <v/>
      </c>
      <c r="W20">
        <f>IF(J20&lt;=$B$5,IF(ISNUMBER($AO$38),$AO$38,NA()),NA())</f>
        <v/>
      </c>
      <c r="X20">
        <f>IF(J20&lt;=$B$5,IF(ISNUMBER($AO$39),$AO$39,NA()),NA())</f>
        <v/>
      </c>
      <c r="Y20">
        <f>IF(AND(J20&lt;=$B$5,L20&gt;0),IF(N20&gt;V20,N20,NA()),NA())</f>
        <v/>
      </c>
      <c r="AB20">
        <f>$AB$2+(14-1)*$AB$3</f>
        <v/>
      </c>
      <c r="AC20">
        <f>AB20+$AB$3/2</f>
        <v/>
      </c>
      <c r="AD20">
        <f>TEXT(AC20,IF($AB$3&lt;0.1,"0.00",IF($AB$3&lt;1,"0.0","0")))</f>
        <v/>
      </c>
      <c r="AE20">
        <f>IF($B$4=0,0,COUNTIFS('계산'!$E$12:$E$761,"&gt;="&amp;AB20,'계산'!$E$12:$E$761,"&lt;"&amp;AB20+$AB$3))</f>
        <v/>
      </c>
      <c r="AF20">
        <f>IF(AND(ISNUMBER($AO$20),ISNUMBER($AO$18)),$AO$18*$AB$3*NORMDIST(AC20,$AO$19,$AO$20,FALSE),NA())</f>
        <v/>
      </c>
      <c r="AG20">
        <f>IF(AND(ISNUMBER($AO$21),ISNUMBER($AO$18)),$AO$18*$AB$3*NORMDIST(AC20,$AO$19,$AO$21,FALSE),NA())</f>
        <v/>
      </c>
      <c r="AH20">
        <f>IF(ISNUMBER($AO$15),IF(AND($AO$15&gt;=AB20,$AO$15&lt;AB20+$AB$3),$AB$4,NA()),NA())</f>
        <v/>
      </c>
      <c r="AI20">
        <f>IF(ISNUMBER($AO$16),IF(AND($AO$16&gt;=AB20,$AO$16&lt;AB20+$AB$3),$AB$4,NA()),NA())</f>
        <v/>
      </c>
      <c r="AJ20">
        <f>IF(ISNUMBER($AO$17),IF(AND($AO$17&gt;=AB20,$AO$17&lt;AB20+$AB$3),$AB$4,NA()),NA())</f>
        <v/>
      </c>
      <c r="AM20" t="inlineStr">
        <is>
          <t>StDev(전체)</t>
        </is>
      </c>
      <c r="AN20">
        <f>IF($B$2="","",IFERROR(INDEX(R_BODY,$B$2,MATCH($AM20,R_HDR,0))&amp;"",""))</f>
        <v/>
      </c>
      <c r="AO20">
        <f>IF(AN20="","",IFERROR(VALUE(AN20),AN20))</f>
        <v/>
      </c>
    </row>
    <row r="21">
      <c r="A21" t="n">
        <v>10</v>
      </c>
      <c r="B21">
        <f>IF(A21&lt;=$B$4,$B$3+A21-1,"")</f>
        <v/>
      </c>
      <c r="C21">
        <f>IF(B21="","",INDEX(D_LOT,B21)&amp;"")</f>
        <v/>
      </c>
      <c r="D21">
        <f>IF(B21="","",INDEX(D_SEQ,B21))</f>
        <v/>
      </c>
      <c r="E21">
        <f>IF(B21="","",IFERROR(VALUE(INDEX(D_VAL,B21)&amp;""),""))</f>
        <v/>
      </c>
      <c r="F21">
        <f>IF(B21="","",F20+(C21&lt;&gt;C20))</f>
        <v/>
      </c>
      <c r="G21">
        <f>IF(B21="","",F21&amp;"|"&amp;D21)</f>
        <v/>
      </c>
      <c r="J21" t="n">
        <v>20</v>
      </c>
      <c r="K21">
        <f>IFERROR(INDEX($C$12:$C$761,MATCH(J21,$F$12:$F$761,0)),"")</f>
        <v/>
      </c>
      <c r="L21">
        <f>COUNTIF($F$12:$F$761,J21)</f>
        <v/>
      </c>
      <c r="M21">
        <f>IF(L21=0,"",AVERAGEIF($F$12:$F$761,J21,$E$12:$E$761))</f>
        <v/>
      </c>
      <c r="N21">
        <f>IF(L21=0,"",MAX(INDEX($E$12:$E$761,MATCH(J21,$F$12:$F$761,0)):INDEX($E$12:$E$761,MATCH(J21,$F$12:$F$761,0)+L21-1))-MIN(INDEX($E$12:$E$761,MATCH(J21,$F$12:$F$761,0)):INDEX($E$12:$E$761,MATCH(J21,$F$12:$F$761,0)+L21-1)))</f>
        <v/>
      </c>
      <c r="O21">
        <f>IF(AND(J21&lt;=$B$5,L21&gt;0),M21,NA())</f>
        <v/>
      </c>
      <c r="P21">
        <f>IF(J21&lt;=$B$5,IF(ISNUMBER($AO$34),$AO$34,NA()),NA())</f>
        <v/>
      </c>
      <c r="Q21">
        <f>IF(J21&lt;=$B$5,IF(ISNUMBER($AO$35),$AO$35,NA()),NA())</f>
        <v/>
      </c>
      <c r="R21">
        <f>IF(J21&lt;=$B$5,IF(ISNUMBER($AO$36),$AO$36,NA()),NA())</f>
        <v/>
      </c>
      <c r="S21">
        <f>IF(AND(J21&lt;=$B$5,L21&gt;0),IF(OR(M21&gt;P21,M21&lt;R21),M21,NA()),NA())</f>
        <v/>
      </c>
      <c r="T21">
        <f>IF(J21&lt;=$B$5,K21,"")</f>
        <v/>
      </c>
      <c r="U21">
        <f>IF(AND(J21&lt;=$B$5,L21&gt;0),N21,NA())</f>
        <v/>
      </c>
      <c r="V21">
        <f>IF(J21&lt;=$B$5,IF(ISNUMBER($AO$37),$AO$37,NA()),NA())</f>
        <v/>
      </c>
      <c r="W21">
        <f>IF(J21&lt;=$B$5,IF(ISNUMBER($AO$38),$AO$38,NA()),NA())</f>
        <v/>
      </c>
      <c r="X21">
        <f>IF(J21&lt;=$B$5,IF(ISNUMBER($AO$39),$AO$39,NA()),NA())</f>
        <v/>
      </c>
      <c r="Y21">
        <f>IF(AND(J21&lt;=$B$5,L21&gt;0),IF(N21&gt;V21,N21,NA()),NA())</f>
        <v/>
      </c>
      <c r="AB21">
        <f>$AB$2+(15-1)*$AB$3</f>
        <v/>
      </c>
      <c r="AC21">
        <f>AB21+$AB$3/2</f>
        <v/>
      </c>
      <c r="AD21">
        <f>TEXT(AC21,IF($AB$3&lt;0.1,"0.00",IF($AB$3&lt;1,"0.0","0")))</f>
        <v/>
      </c>
      <c r="AE21">
        <f>IF($B$4=0,0,COUNTIFS('계산'!$E$12:$E$761,"&gt;="&amp;AB21,'계산'!$E$12:$E$761,"&lt;"&amp;AB21+$AB$3))</f>
        <v/>
      </c>
      <c r="AF21">
        <f>IF(AND(ISNUMBER($AO$20),ISNUMBER($AO$18)),$AO$18*$AB$3*NORMDIST(AC21,$AO$19,$AO$20,FALSE),NA())</f>
        <v/>
      </c>
      <c r="AG21">
        <f>IF(AND(ISNUMBER($AO$21),ISNUMBER($AO$18)),$AO$18*$AB$3*NORMDIST(AC21,$AO$19,$AO$21,FALSE),NA())</f>
        <v/>
      </c>
      <c r="AH21">
        <f>IF(ISNUMBER($AO$15),IF(AND($AO$15&gt;=AB21,$AO$15&lt;AB21+$AB$3),$AB$4,NA()),NA())</f>
        <v/>
      </c>
      <c r="AI21">
        <f>IF(ISNUMBER($AO$16),IF(AND($AO$16&gt;=AB21,$AO$16&lt;AB21+$AB$3),$AB$4,NA()),NA())</f>
        <v/>
      </c>
      <c r="AJ21">
        <f>IF(ISNUMBER($AO$17),IF(AND($AO$17&gt;=AB21,$AO$17&lt;AB21+$AB$3),$AB$4,NA()),NA())</f>
        <v/>
      </c>
      <c r="AM21" t="inlineStr">
        <is>
          <t>StDev(군내)</t>
        </is>
      </c>
      <c r="AN21">
        <f>IF($B$2="","",IFERROR(INDEX(R_BODY,$B$2,MATCH($AM21,R_HDR,0))&amp;"",""))</f>
        <v/>
      </c>
      <c r="AO21">
        <f>IF(AN21="","",IFERROR(VALUE(AN21),AN21))</f>
        <v/>
      </c>
    </row>
    <row r="22">
      <c r="A22" t="n">
        <v>11</v>
      </c>
      <c r="B22">
        <f>IF(A22&lt;=$B$4,$B$3+A22-1,"")</f>
        <v/>
      </c>
      <c r="C22">
        <f>IF(B22="","",INDEX(D_LOT,B22)&amp;"")</f>
        <v/>
      </c>
      <c r="D22">
        <f>IF(B22="","",INDEX(D_SEQ,B22))</f>
        <v/>
      </c>
      <c r="E22">
        <f>IF(B22="","",IFERROR(VALUE(INDEX(D_VAL,B22)&amp;""),""))</f>
        <v/>
      </c>
      <c r="F22">
        <f>IF(B22="","",F21+(C22&lt;&gt;C21))</f>
        <v/>
      </c>
      <c r="G22">
        <f>IF(B22="","",F22&amp;"|"&amp;D22)</f>
        <v/>
      </c>
      <c r="J22" t="n">
        <v>21</v>
      </c>
      <c r="K22">
        <f>IFERROR(INDEX($C$12:$C$761,MATCH(J22,$F$12:$F$761,0)),"")</f>
        <v/>
      </c>
      <c r="L22">
        <f>COUNTIF($F$12:$F$761,J22)</f>
        <v/>
      </c>
      <c r="M22">
        <f>IF(L22=0,"",AVERAGEIF($F$12:$F$761,J22,$E$12:$E$761))</f>
        <v/>
      </c>
      <c r="N22">
        <f>IF(L22=0,"",MAX(INDEX($E$12:$E$761,MATCH(J22,$F$12:$F$761,0)):INDEX($E$12:$E$761,MATCH(J22,$F$12:$F$761,0)+L22-1))-MIN(INDEX($E$12:$E$761,MATCH(J22,$F$12:$F$761,0)):INDEX($E$12:$E$761,MATCH(J22,$F$12:$F$761,0)+L22-1)))</f>
        <v/>
      </c>
      <c r="O22">
        <f>IF(AND(J22&lt;=$B$5,L22&gt;0),M22,NA())</f>
        <v/>
      </c>
      <c r="P22">
        <f>IF(J22&lt;=$B$5,IF(ISNUMBER($AO$34),$AO$34,NA()),NA())</f>
        <v/>
      </c>
      <c r="Q22">
        <f>IF(J22&lt;=$B$5,IF(ISNUMBER($AO$35),$AO$35,NA()),NA())</f>
        <v/>
      </c>
      <c r="R22">
        <f>IF(J22&lt;=$B$5,IF(ISNUMBER($AO$36),$AO$36,NA()),NA())</f>
        <v/>
      </c>
      <c r="S22">
        <f>IF(AND(J22&lt;=$B$5,L22&gt;0),IF(OR(M22&gt;P22,M22&lt;R22),M22,NA()),NA())</f>
        <v/>
      </c>
      <c r="T22">
        <f>IF(J22&lt;=$B$5,K22,"")</f>
        <v/>
      </c>
      <c r="U22">
        <f>IF(AND(J22&lt;=$B$5,L22&gt;0),N22,NA())</f>
        <v/>
      </c>
      <c r="V22">
        <f>IF(J22&lt;=$B$5,IF(ISNUMBER($AO$37),$AO$37,NA()),NA())</f>
        <v/>
      </c>
      <c r="W22">
        <f>IF(J22&lt;=$B$5,IF(ISNUMBER($AO$38),$AO$38,NA()),NA())</f>
        <v/>
      </c>
      <c r="X22">
        <f>IF(J22&lt;=$B$5,IF(ISNUMBER($AO$39),$AO$39,NA()),NA())</f>
        <v/>
      </c>
      <c r="Y22">
        <f>IF(AND(J22&lt;=$B$5,L22&gt;0),IF(N22&gt;V22,N22,NA()),NA())</f>
        <v/>
      </c>
      <c r="AB22">
        <f>$AB$2+(16-1)*$AB$3</f>
        <v/>
      </c>
      <c r="AC22">
        <f>AB22+$AB$3/2</f>
        <v/>
      </c>
      <c r="AD22">
        <f>TEXT(AC22,IF($AB$3&lt;0.1,"0.00",IF($AB$3&lt;1,"0.0","0")))</f>
        <v/>
      </c>
      <c r="AE22">
        <f>IF($B$4=0,0,COUNTIFS('계산'!$E$12:$E$761,"&gt;="&amp;AB22,'계산'!$E$12:$E$761,"&lt;"&amp;AB22+$AB$3))</f>
        <v/>
      </c>
      <c r="AF22">
        <f>IF(AND(ISNUMBER($AO$20),ISNUMBER($AO$18)),$AO$18*$AB$3*NORMDIST(AC22,$AO$19,$AO$20,FALSE),NA())</f>
        <v/>
      </c>
      <c r="AG22">
        <f>IF(AND(ISNUMBER($AO$21),ISNUMBER($AO$18)),$AO$18*$AB$3*NORMDIST(AC22,$AO$19,$AO$21,FALSE),NA())</f>
        <v/>
      </c>
      <c r="AH22">
        <f>IF(ISNUMBER($AO$15),IF(AND($AO$15&gt;=AB22,$AO$15&lt;AB22+$AB$3),$AB$4,NA()),NA())</f>
        <v/>
      </c>
      <c r="AI22">
        <f>IF(ISNUMBER($AO$16),IF(AND($AO$16&gt;=AB22,$AO$16&lt;AB22+$AB$3),$AB$4,NA()),NA())</f>
        <v/>
      </c>
      <c r="AJ22">
        <f>IF(ISNUMBER($AO$17),IF(AND($AO$17&gt;=AB22,$AO$17&lt;AB22+$AB$3),$AB$4,NA()),NA())</f>
        <v/>
      </c>
      <c r="AM22" t="inlineStr">
        <is>
          <t>Cp</t>
        </is>
      </c>
      <c r="AN22">
        <f>IF($B$2="","",IFERROR(INDEX(R_BODY,$B$2,MATCH($AM22,R_HDR,0))&amp;"",""))</f>
        <v/>
      </c>
      <c r="AO22">
        <f>IF(AN22="","",IFERROR(VALUE(AN22),AN22))</f>
        <v/>
      </c>
    </row>
    <row r="23">
      <c r="A23" t="n">
        <v>12</v>
      </c>
      <c r="B23">
        <f>IF(A23&lt;=$B$4,$B$3+A23-1,"")</f>
        <v/>
      </c>
      <c r="C23">
        <f>IF(B23="","",INDEX(D_LOT,B23)&amp;"")</f>
        <v/>
      </c>
      <c r="D23">
        <f>IF(B23="","",INDEX(D_SEQ,B23))</f>
        <v/>
      </c>
      <c r="E23">
        <f>IF(B23="","",IFERROR(VALUE(INDEX(D_VAL,B23)&amp;""),""))</f>
        <v/>
      </c>
      <c r="F23">
        <f>IF(B23="","",F22+(C23&lt;&gt;C22))</f>
        <v/>
      </c>
      <c r="G23">
        <f>IF(B23="","",F23&amp;"|"&amp;D23)</f>
        <v/>
      </c>
      <c r="J23" t="n">
        <v>22</v>
      </c>
      <c r="K23">
        <f>IFERROR(INDEX($C$12:$C$761,MATCH(J23,$F$12:$F$761,0)),"")</f>
        <v/>
      </c>
      <c r="L23">
        <f>COUNTIF($F$12:$F$761,J23)</f>
        <v/>
      </c>
      <c r="M23">
        <f>IF(L23=0,"",AVERAGEIF($F$12:$F$761,J23,$E$12:$E$761))</f>
        <v/>
      </c>
      <c r="N23">
        <f>IF(L23=0,"",MAX(INDEX($E$12:$E$761,MATCH(J23,$F$12:$F$761,0)):INDEX($E$12:$E$761,MATCH(J23,$F$12:$F$761,0)+L23-1))-MIN(INDEX($E$12:$E$761,MATCH(J23,$F$12:$F$761,0)):INDEX($E$12:$E$761,MATCH(J23,$F$12:$F$761,0)+L23-1)))</f>
        <v/>
      </c>
      <c r="O23">
        <f>IF(AND(J23&lt;=$B$5,L23&gt;0),M23,NA())</f>
        <v/>
      </c>
      <c r="P23">
        <f>IF(J23&lt;=$B$5,IF(ISNUMBER($AO$34),$AO$34,NA()),NA())</f>
        <v/>
      </c>
      <c r="Q23">
        <f>IF(J23&lt;=$B$5,IF(ISNUMBER($AO$35),$AO$35,NA()),NA())</f>
        <v/>
      </c>
      <c r="R23">
        <f>IF(J23&lt;=$B$5,IF(ISNUMBER($AO$36),$AO$36,NA()),NA())</f>
        <v/>
      </c>
      <c r="S23">
        <f>IF(AND(J23&lt;=$B$5,L23&gt;0),IF(OR(M23&gt;P23,M23&lt;R23),M23,NA()),NA())</f>
        <v/>
      </c>
      <c r="T23">
        <f>IF(J23&lt;=$B$5,K23,"")</f>
        <v/>
      </c>
      <c r="U23">
        <f>IF(AND(J23&lt;=$B$5,L23&gt;0),N23,NA())</f>
        <v/>
      </c>
      <c r="V23">
        <f>IF(J23&lt;=$B$5,IF(ISNUMBER($AO$37),$AO$37,NA()),NA())</f>
        <v/>
      </c>
      <c r="W23">
        <f>IF(J23&lt;=$B$5,IF(ISNUMBER($AO$38),$AO$38,NA()),NA())</f>
        <v/>
      </c>
      <c r="X23">
        <f>IF(J23&lt;=$B$5,IF(ISNUMBER($AO$39),$AO$39,NA()),NA())</f>
        <v/>
      </c>
      <c r="Y23">
        <f>IF(AND(J23&lt;=$B$5,L23&gt;0),IF(N23&gt;V23,N23,NA()),NA())</f>
        <v/>
      </c>
      <c r="AB23">
        <f>$AB$2+(17-1)*$AB$3</f>
        <v/>
      </c>
      <c r="AC23">
        <f>AB23+$AB$3/2</f>
        <v/>
      </c>
      <c r="AD23">
        <f>TEXT(AC23,IF($AB$3&lt;0.1,"0.00",IF($AB$3&lt;1,"0.0","0")))</f>
        <v/>
      </c>
      <c r="AE23">
        <f>IF($B$4=0,0,COUNTIFS('계산'!$E$12:$E$761,"&gt;="&amp;AB23,'계산'!$E$12:$E$761,"&lt;"&amp;AB23+$AB$3))</f>
        <v/>
      </c>
      <c r="AF23">
        <f>IF(AND(ISNUMBER($AO$20),ISNUMBER($AO$18)),$AO$18*$AB$3*NORMDIST(AC23,$AO$19,$AO$20,FALSE),NA())</f>
        <v/>
      </c>
      <c r="AG23">
        <f>IF(AND(ISNUMBER($AO$21),ISNUMBER($AO$18)),$AO$18*$AB$3*NORMDIST(AC23,$AO$19,$AO$21,FALSE),NA())</f>
        <v/>
      </c>
      <c r="AH23">
        <f>IF(ISNUMBER($AO$15),IF(AND($AO$15&gt;=AB23,$AO$15&lt;AB23+$AB$3),$AB$4,NA()),NA())</f>
        <v/>
      </c>
      <c r="AI23">
        <f>IF(ISNUMBER($AO$16),IF(AND($AO$16&gt;=AB23,$AO$16&lt;AB23+$AB$3),$AB$4,NA()),NA())</f>
        <v/>
      </c>
      <c r="AJ23">
        <f>IF(ISNUMBER($AO$17),IF(AND($AO$17&gt;=AB23,$AO$17&lt;AB23+$AB$3),$AB$4,NA()),NA())</f>
        <v/>
      </c>
      <c r="AM23" t="inlineStr">
        <is>
          <t>CPL</t>
        </is>
      </c>
      <c r="AN23">
        <f>IF($B$2="","",IFERROR(INDEX(R_BODY,$B$2,MATCH($AM23,R_HDR,0))&amp;"",""))</f>
        <v/>
      </c>
      <c r="AO23">
        <f>IF(AN23="","",IFERROR(VALUE(AN23),AN23))</f>
        <v/>
      </c>
    </row>
    <row r="24">
      <c r="A24" t="n">
        <v>13</v>
      </c>
      <c r="B24">
        <f>IF(A24&lt;=$B$4,$B$3+A24-1,"")</f>
        <v/>
      </c>
      <c r="C24">
        <f>IF(B24="","",INDEX(D_LOT,B24)&amp;"")</f>
        <v/>
      </c>
      <c r="D24">
        <f>IF(B24="","",INDEX(D_SEQ,B24))</f>
        <v/>
      </c>
      <c r="E24">
        <f>IF(B24="","",IFERROR(VALUE(INDEX(D_VAL,B24)&amp;""),""))</f>
        <v/>
      </c>
      <c r="F24">
        <f>IF(B24="","",F23+(C24&lt;&gt;C23))</f>
        <v/>
      </c>
      <c r="G24">
        <f>IF(B24="","",F24&amp;"|"&amp;D24)</f>
        <v/>
      </c>
      <c r="J24" t="n">
        <v>23</v>
      </c>
      <c r="K24">
        <f>IFERROR(INDEX($C$12:$C$761,MATCH(J24,$F$12:$F$761,0)),"")</f>
        <v/>
      </c>
      <c r="L24">
        <f>COUNTIF($F$12:$F$761,J24)</f>
        <v/>
      </c>
      <c r="M24">
        <f>IF(L24=0,"",AVERAGEIF($F$12:$F$761,J24,$E$12:$E$761))</f>
        <v/>
      </c>
      <c r="N24">
        <f>IF(L24=0,"",MAX(INDEX($E$12:$E$761,MATCH(J24,$F$12:$F$761,0)):INDEX($E$12:$E$761,MATCH(J24,$F$12:$F$761,0)+L24-1))-MIN(INDEX($E$12:$E$761,MATCH(J24,$F$12:$F$761,0)):INDEX($E$12:$E$761,MATCH(J24,$F$12:$F$761,0)+L24-1)))</f>
        <v/>
      </c>
      <c r="O24">
        <f>IF(AND(J24&lt;=$B$5,L24&gt;0),M24,NA())</f>
        <v/>
      </c>
      <c r="P24">
        <f>IF(J24&lt;=$B$5,IF(ISNUMBER($AO$34),$AO$34,NA()),NA())</f>
        <v/>
      </c>
      <c r="Q24">
        <f>IF(J24&lt;=$B$5,IF(ISNUMBER($AO$35),$AO$35,NA()),NA())</f>
        <v/>
      </c>
      <c r="R24">
        <f>IF(J24&lt;=$B$5,IF(ISNUMBER($AO$36),$AO$36,NA()),NA())</f>
        <v/>
      </c>
      <c r="S24">
        <f>IF(AND(J24&lt;=$B$5,L24&gt;0),IF(OR(M24&gt;P24,M24&lt;R24),M24,NA()),NA())</f>
        <v/>
      </c>
      <c r="T24">
        <f>IF(J24&lt;=$B$5,K24,"")</f>
        <v/>
      </c>
      <c r="U24">
        <f>IF(AND(J24&lt;=$B$5,L24&gt;0),N24,NA())</f>
        <v/>
      </c>
      <c r="V24">
        <f>IF(J24&lt;=$B$5,IF(ISNUMBER($AO$37),$AO$37,NA()),NA())</f>
        <v/>
      </c>
      <c r="W24">
        <f>IF(J24&lt;=$B$5,IF(ISNUMBER($AO$38),$AO$38,NA()),NA())</f>
        <v/>
      </c>
      <c r="X24">
        <f>IF(J24&lt;=$B$5,IF(ISNUMBER($AO$39),$AO$39,NA()),NA())</f>
        <v/>
      </c>
      <c r="Y24">
        <f>IF(AND(J24&lt;=$B$5,L24&gt;0),IF(N24&gt;V24,N24,NA()),NA())</f>
        <v/>
      </c>
      <c r="AB24">
        <f>$AB$2+(18-1)*$AB$3</f>
        <v/>
      </c>
      <c r="AC24">
        <f>AB24+$AB$3/2</f>
        <v/>
      </c>
      <c r="AD24">
        <f>TEXT(AC24,IF($AB$3&lt;0.1,"0.00",IF($AB$3&lt;1,"0.0","0")))</f>
        <v/>
      </c>
      <c r="AE24">
        <f>IF($B$4=0,0,COUNTIFS('계산'!$E$12:$E$761,"&gt;="&amp;AB24,'계산'!$E$12:$E$761,"&lt;"&amp;AB24+$AB$3))</f>
        <v/>
      </c>
      <c r="AF24">
        <f>IF(AND(ISNUMBER($AO$20),ISNUMBER($AO$18)),$AO$18*$AB$3*NORMDIST(AC24,$AO$19,$AO$20,FALSE),NA())</f>
        <v/>
      </c>
      <c r="AG24">
        <f>IF(AND(ISNUMBER($AO$21),ISNUMBER($AO$18)),$AO$18*$AB$3*NORMDIST(AC24,$AO$19,$AO$21,FALSE),NA())</f>
        <v/>
      </c>
      <c r="AH24">
        <f>IF(ISNUMBER($AO$15),IF(AND($AO$15&gt;=AB24,$AO$15&lt;AB24+$AB$3),$AB$4,NA()),NA())</f>
        <v/>
      </c>
      <c r="AI24">
        <f>IF(ISNUMBER($AO$16),IF(AND($AO$16&gt;=AB24,$AO$16&lt;AB24+$AB$3),$AB$4,NA()),NA())</f>
        <v/>
      </c>
      <c r="AJ24">
        <f>IF(ISNUMBER($AO$17),IF(AND($AO$17&gt;=AB24,$AO$17&lt;AB24+$AB$3),$AB$4,NA()),NA())</f>
        <v/>
      </c>
      <c r="AM24" t="inlineStr">
        <is>
          <t>CPU</t>
        </is>
      </c>
      <c r="AN24">
        <f>IF($B$2="","",IFERROR(INDEX(R_BODY,$B$2,MATCH($AM24,R_HDR,0))&amp;"",""))</f>
        <v/>
      </c>
      <c r="AO24">
        <f>IF(AN24="","",IFERROR(VALUE(AN24),AN24))</f>
        <v/>
      </c>
    </row>
    <row r="25">
      <c r="A25" t="n">
        <v>14</v>
      </c>
      <c r="B25">
        <f>IF(A25&lt;=$B$4,$B$3+A25-1,"")</f>
        <v/>
      </c>
      <c r="C25">
        <f>IF(B25="","",INDEX(D_LOT,B25)&amp;"")</f>
        <v/>
      </c>
      <c r="D25">
        <f>IF(B25="","",INDEX(D_SEQ,B25))</f>
        <v/>
      </c>
      <c r="E25">
        <f>IF(B25="","",IFERROR(VALUE(INDEX(D_VAL,B25)&amp;""),""))</f>
        <v/>
      </c>
      <c r="F25">
        <f>IF(B25="","",F24+(C25&lt;&gt;C24))</f>
        <v/>
      </c>
      <c r="G25">
        <f>IF(B25="","",F25&amp;"|"&amp;D25)</f>
        <v/>
      </c>
      <c r="J25" t="n">
        <v>24</v>
      </c>
      <c r="K25">
        <f>IFERROR(INDEX($C$12:$C$761,MATCH(J25,$F$12:$F$761,0)),"")</f>
        <v/>
      </c>
      <c r="L25">
        <f>COUNTIF($F$12:$F$761,J25)</f>
        <v/>
      </c>
      <c r="M25">
        <f>IF(L25=0,"",AVERAGEIF($F$12:$F$761,J25,$E$12:$E$761))</f>
        <v/>
      </c>
      <c r="N25">
        <f>IF(L25=0,"",MAX(INDEX($E$12:$E$761,MATCH(J25,$F$12:$F$761,0)):INDEX($E$12:$E$761,MATCH(J25,$F$12:$F$761,0)+L25-1))-MIN(INDEX($E$12:$E$761,MATCH(J25,$F$12:$F$761,0)):INDEX($E$12:$E$761,MATCH(J25,$F$12:$F$761,0)+L25-1)))</f>
        <v/>
      </c>
      <c r="O25">
        <f>IF(AND(J25&lt;=$B$5,L25&gt;0),M25,NA())</f>
        <v/>
      </c>
      <c r="P25">
        <f>IF(J25&lt;=$B$5,IF(ISNUMBER($AO$34),$AO$34,NA()),NA())</f>
        <v/>
      </c>
      <c r="Q25">
        <f>IF(J25&lt;=$B$5,IF(ISNUMBER($AO$35),$AO$35,NA()),NA())</f>
        <v/>
      </c>
      <c r="R25">
        <f>IF(J25&lt;=$B$5,IF(ISNUMBER($AO$36),$AO$36,NA()),NA())</f>
        <v/>
      </c>
      <c r="S25">
        <f>IF(AND(J25&lt;=$B$5,L25&gt;0),IF(OR(M25&gt;P25,M25&lt;R25),M25,NA()),NA())</f>
        <v/>
      </c>
      <c r="T25">
        <f>IF(J25&lt;=$B$5,K25,"")</f>
        <v/>
      </c>
      <c r="U25">
        <f>IF(AND(J25&lt;=$B$5,L25&gt;0),N25,NA())</f>
        <v/>
      </c>
      <c r="V25">
        <f>IF(J25&lt;=$B$5,IF(ISNUMBER($AO$37),$AO$37,NA()),NA())</f>
        <v/>
      </c>
      <c r="W25">
        <f>IF(J25&lt;=$B$5,IF(ISNUMBER($AO$38),$AO$38,NA()),NA())</f>
        <v/>
      </c>
      <c r="X25">
        <f>IF(J25&lt;=$B$5,IF(ISNUMBER($AO$39),$AO$39,NA()),NA())</f>
        <v/>
      </c>
      <c r="Y25">
        <f>IF(AND(J25&lt;=$B$5,L25&gt;0),IF(N25&gt;V25,N25,NA()),NA())</f>
        <v/>
      </c>
      <c r="AB25">
        <f>$AB$2+(19-1)*$AB$3</f>
        <v/>
      </c>
      <c r="AC25">
        <f>AB25+$AB$3/2</f>
        <v/>
      </c>
      <c r="AD25">
        <f>TEXT(AC25,IF($AB$3&lt;0.1,"0.00",IF($AB$3&lt;1,"0.0","0")))</f>
        <v/>
      </c>
      <c r="AE25">
        <f>IF($B$4=0,0,COUNTIFS('계산'!$E$12:$E$761,"&gt;="&amp;AB25,'계산'!$E$12:$E$761,"&lt;"&amp;AB25+$AB$3))</f>
        <v/>
      </c>
      <c r="AF25">
        <f>IF(AND(ISNUMBER($AO$20),ISNUMBER($AO$18)),$AO$18*$AB$3*NORMDIST(AC25,$AO$19,$AO$20,FALSE),NA())</f>
        <v/>
      </c>
      <c r="AG25">
        <f>IF(AND(ISNUMBER($AO$21),ISNUMBER($AO$18)),$AO$18*$AB$3*NORMDIST(AC25,$AO$19,$AO$21,FALSE),NA())</f>
        <v/>
      </c>
      <c r="AH25">
        <f>IF(ISNUMBER($AO$15),IF(AND($AO$15&gt;=AB25,$AO$15&lt;AB25+$AB$3),$AB$4,NA()),NA())</f>
        <v/>
      </c>
      <c r="AI25">
        <f>IF(ISNUMBER($AO$16),IF(AND($AO$16&gt;=AB25,$AO$16&lt;AB25+$AB$3),$AB$4,NA()),NA())</f>
        <v/>
      </c>
      <c r="AJ25">
        <f>IF(ISNUMBER($AO$17),IF(AND($AO$17&gt;=AB25,$AO$17&lt;AB25+$AB$3),$AB$4,NA()),NA())</f>
        <v/>
      </c>
      <c r="AM25" t="inlineStr">
        <is>
          <t>Cpk</t>
        </is>
      </c>
      <c r="AN25">
        <f>IF($B$2="","",IFERROR(INDEX(R_BODY,$B$2,MATCH($AM25,R_HDR,0))&amp;"",""))</f>
        <v/>
      </c>
      <c r="AO25">
        <f>IF(AN25="","",IFERROR(VALUE(AN25),AN25))</f>
        <v/>
      </c>
    </row>
    <row r="26">
      <c r="A26" t="n">
        <v>15</v>
      </c>
      <c r="B26">
        <f>IF(A26&lt;=$B$4,$B$3+A26-1,"")</f>
        <v/>
      </c>
      <c r="C26">
        <f>IF(B26="","",INDEX(D_LOT,B26)&amp;"")</f>
        <v/>
      </c>
      <c r="D26">
        <f>IF(B26="","",INDEX(D_SEQ,B26))</f>
        <v/>
      </c>
      <c r="E26">
        <f>IF(B26="","",IFERROR(VALUE(INDEX(D_VAL,B26)&amp;""),""))</f>
        <v/>
      </c>
      <c r="F26">
        <f>IF(B26="","",F25+(C26&lt;&gt;C25))</f>
        <v/>
      </c>
      <c r="G26">
        <f>IF(B26="","",F26&amp;"|"&amp;D26)</f>
        <v/>
      </c>
      <c r="J26" t="n">
        <v>25</v>
      </c>
      <c r="K26">
        <f>IFERROR(INDEX($C$12:$C$761,MATCH(J26,$F$12:$F$761,0)),"")</f>
        <v/>
      </c>
      <c r="L26">
        <f>COUNTIF($F$12:$F$761,J26)</f>
        <v/>
      </c>
      <c r="M26">
        <f>IF(L26=0,"",AVERAGEIF($F$12:$F$761,J26,$E$12:$E$761))</f>
        <v/>
      </c>
      <c r="N26">
        <f>IF(L26=0,"",MAX(INDEX($E$12:$E$761,MATCH(J26,$F$12:$F$761,0)):INDEX($E$12:$E$761,MATCH(J26,$F$12:$F$761,0)+L26-1))-MIN(INDEX($E$12:$E$761,MATCH(J26,$F$12:$F$761,0)):INDEX($E$12:$E$761,MATCH(J26,$F$12:$F$761,0)+L26-1)))</f>
        <v/>
      </c>
      <c r="O26">
        <f>IF(AND(J26&lt;=$B$5,L26&gt;0),M26,NA())</f>
        <v/>
      </c>
      <c r="P26">
        <f>IF(J26&lt;=$B$5,IF(ISNUMBER($AO$34),$AO$34,NA()),NA())</f>
        <v/>
      </c>
      <c r="Q26">
        <f>IF(J26&lt;=$B$5,IF(ISNUMBER($AO$35),$AO$35,NA()),NA())</f>
        <v/>
      </c>
      <c r="R26">
        <f>IF(J26&lt;=$B$5,IF(ISNUMBER($AO$36),$AO$36,NA()),NA())</f>
        <v/>
      </c>
      <c r="S26">
        <f>IF(AND(J26&lt;=$B$5,L26&gt;0),IF(OR(M26&gt;P26,M26&lt;R26),M26,NA()),NA())</f>
        <v/>
      </c>
      <c r="T26">
        <f>IF(J26&lt;=$B$5,K26,"")</f>
        <v/>
      </c>
      <c r="U26">
        <f>IF(AND(J26&lt;=$B$5,L26&gt;0),N26,NA())</f>
        <v/>
      </c>
      <c r="V26">
        <f>IF(J26&lt;=$B$5,IF(ISNUMBER($AO$37),$AO$37,NA()),NA())</f>
        <v/>
      </c>
      <c r="W26">
        <f>IF(J26&lt;=$B$5,IF(ISNUMBER($AO$38),$AO$38,NA()),NA())</f>
        <v/>
      </c>
      <c r="X26">
        <f>IF(J26&lt;=$B$5,IF(ISNUMBER($AO$39),$AO$39,NA()),NA())</f>
        <v/>
      </c>
      <c r="Y26">
        <f>IF(AND(J26&lt;=$B$5,L26&gt;0),IF(N26&gt;V26,N26,NA()),NA())</f>
        <v/>
      </c>
      <c r="AB26">
        <f>$AB$2+(20-1)*$AB$3</f>
        <v/>
      </c>
      <c r="AC26">
        <f>AB26+$AB$3/2</f>
        <v/>
      </c>
      <c r="AD26">
        <f>TEXT(AC26,IF($AB$3&lt;0.1,"0.00",IF($AB$3&lt;1,"0.0","0")))</f>
        <v/>
      </c>
      <c r="AE26">
        <f>IF($B$4=0,0,COUNTIFS('계산'!$E$12:$E$761,"&gt;="&amp;AB26,'계산'!$E$12:$E$761,"&lt;"&amp;AB26+$AB$3))</f>
        <v/>
      </c>
      <c r="AF26">
        <f>IF(AND(ISNUMBER($AO$20),ISNUMBER($AO$18)),$AO$18*$AB$3*NORMDIST(AC26,$AO$19,$AO$20,FALSE),NA())</f>
        <v/>
      </c>
      <c r="AG26">
        <f>IF(AND(ISNUMBER($AO$21),ISNUMBER($AO$18)),$AO$18*$AB$3*NORMDIST(AC26,$AO$19,$AO$21,FALSE),NA())</f>
        <v/>
      </c>
      <c r="AH26">
        <f>IF(ISNUMBER($AO$15),IF(AND($AO$15&gt;=AB26,$AO$15&lt;AB26+$AB$3),$AB$4,NA()),NA())</f>
        <v/>
      </c>
      <c r="AI26">
        <f>IF(ISNUMBER($AO$16),IF(AND($AO$16&gt;=AB26,$AO$16&lt;AB26+$AB$3),$AB$4,NA()),NA())</f>
        <v/>
      </c>
      <c r="AJ26">
        <f>IF(ISNUMBER($AO$17),IF(AND($AO$17&gt;=AB26,$AO$17&lt;AB26+$AB$3),$AB$4,NA()),NA())</f>
        <v/>
      </c>
      <c r="AM26" t="inlineStr">
        <is>
          <t>Pp</t>
        </is>
      </c>
      <c r="AN26">
        <f>IF($B$2="","",IFERROR(INDEX(R_BODY,$B$2,MATCH($AM26,R_HDR,0))&amp;"",""))</f>
        <v/>
      </c>
      <c r="AO26">
        <f>IF(AN26="","",IFERROR(VALUE(AN26),AN26))</f>
        <v/>
      </c>
    </row>
    <row r="27">
      <c r="A27" t="n">
        <v>16</v>
      </c>
      <c r="B27">
        <f>IF(A27&lt;=$B$4,$B$3+A27-1,"")</f>
        <v/>
      </c>
      <c r="C27">
        <f>IF(B27="","",INDEX(D_LOT,B27)&amp;"")</f>
        <v/>
      </c>
      <c r="D27">
        <f>IF(B27="","",INDEX(D_SEQ,B27))</f>
        <v/>
      </c>
      <c r="E27">
        <f>IF(B27="","",IFERROR(VALUE(INDEX(D_VAL,B27)&amp;""),""))</f>
        <v/>
      </c>
      <c r="F27">
        <f>IF(B27="","",F26+(C27&lt;&gt;C26))</f>
        <v/>
      </c>
      <c r="G27">
        <f>IF(B27="","",F27&amp;"|"&amp;D27)</f>
        <v/>
      </c>
      <c r="J27" t="n">
        <v>26</v>
      </c>
      <c r="K27">
        <f>IFERROR(INDEX($C$12:$C$761,MATCH(J27,$F$12:$F$761,0)),"")</f>
        <v/>
      </c>
      <c r="L27">
        <f>COUNTIF($F$12:$F$761,J27)</f>
        <v/>
      </c>
      <c r="M27">
        <f>IF(L27=0,"",AVERAGEIF($F$12:$F$761,J27,$E$12:$E$761))</f>
        <v/>
      </c>
      <c r="N27">
        <f>IF(L27=0,"",MAX(INDEX($E$12:$E$761,MATCH(J27,$F$12:$F$761,0)):INDEX($E$12:$E$761,MATCH(J27,$F$12:$F$761,0)+L27-1))-MIN(INDEX($E$12:$E$761,MATCH(J27,$F$12:$F$761,0)):INDEX($E$12:$E$761,MATCH(J27,$F$12:$F$761,0)+L27-1)))</f>
        <v/>
      </c>
      <c r="O27">
        <f>IF(AND(J27&lt;=$B$5,L27&gt;0),M27,NA())</f>
        <v/>
      </c>
      <c r="P27">
        <f>IF(J27&lt;=$B$5,IF(ISNUMBER($AO$34),$AO$34,NA()),NA())</f>
        <v/>
      </c>
      <c r="Q27">
        <f>IF(J27&lt;=$B$5,IF(ISNUMBER($AO$35),$AO$35,NA()),NA())</f>
        <v/>
      </c>
      <c r="R27">
        <f>IF(J27&lt;=$B$5,IF(ISNUMBER($AO$36),$AO$36,NA()),NA())</f>
        <v/>
      </c>
      <c r="S27">
        <f>IF(AND(J27&lt;=$B$5,L27&gt;0),IF(OR(M27&gt;P27,M27&lt;R27),M27,NA()),NA())</f>
        <v/>
      </c>
      <c r="T27">
        <f>IF(J27&lt;=$B$5,K27,"")</f>
        <v/>
      </c>
      <c r="U27">
        <f>IF(AND(J27&lt;=$B$5,L27&gt;0),N27,NA())</f>
        <v/>
      </c>
      <c r="V27">
        <f>IF(J27&lt;=$B$5,IF(ISNUMBER($AO$37),$AO$37,NA()),NA())</f>
        <v/>
      </c>
      <c r="W27">
        <f>IF(J27&lt;=$B$5,IF(ISNUMBER($AO$38),$AO$38,NA()),NA())</f>
        <v/>
      </c>
      <c r="X27">
        <f>IF(J27&lt;=$B$5,IF(ISNUMBER($AO$39),$AO$39,NA()),NA())</f>
        <v/>
      </c>
      <c r="Y27">
        <f>IF(AND(J27&lt;=$B$5,L27&gt;0),IF(N27&gt;V27,N27,NA()),NA())</f>
        <v/>
      </c>
      <c r="AB27">
        <f>$AB$2+(21-1)*$AB$3</f>
        <v/>
      </c>
      <c r="AC27">
        <f>AB27+$AB$3/2</f>
        <v/>
      </c>
      <c r="AD27">
        <f>TEXT(AC27,IF($AB$3&lt;0.1,"0.00",IF($AB$3&lt;1,"0.0","0")))</f>
        <v/>
      </c>
      <c r="AE27">
        <f>IF($B$4=0,0,COUNTIFS('계산'!$E$12:$E$761,"&gt;="&amp;AB27,'계산'!$E$12:$E$761,"&lt;"&amp;AB27+$AB$3))</f>
        <v/>
      </c>
      <c r="AF27">
        <f>IF(AND(ISNUMBER($AO$20),ISNUMBER($AO$18)),$AO$18*$AB$3*NORMDIST(AC27,$AO$19,$AO$20,FALSE),NA())</f>
        <v/>
      </c>
      <c r="AG27">
        <f>IF(AND(ISNUMBER($AO$21),ISNUMBER($AO$18)),$AO$18*$AB$3*NORMDIST(AC27,$AO$19,$AO$21,FALSE),NA())</f>
        <v/>
      </c>
      <c r="AH27">
        <f>IF(ISNUMBER($AO$15),IF(AND($AO$15&gt;=AB27,$AO$15&lt;AB27+$AB$3),$AB$4,NA()),NA())</f>
        <v/>
      </c>
      <c r="AI27">
        <f>IF(ISNUMBER($AO$16),IF(AND($AO$16&gt;=AB27,$AO$16&lt;AB27+$AB$3),$AB$4,NA()),NA())</f>
        <v/>
      </c>
      <c r="AJ27">
        <f>IF(ISNUMBER($AO$17),IF(AND($AO$17&gt;=AB27,$AO$17&lt;AB27+$AB$3),$AB$4,NA()),NA())</f>
        <v/>
      </c>
      <c r="AM27" t="inlineStr">
        <is>
          <t>PPL</t>
        </is>
      </c>
      <c r="AN27">
        <f>IF($B$2="","",IFERROR(INDEX(R_BODY,$B$2,MATCH($AM27,R_HDR,0))&amp;"",""))</f>
        <v/>
      </c>
      <c r="AO27">
        <f>IF(AN27="","",IFERROR(VALUE(AN27),AN27))</f>
        <v/>
      </c>
    </row>
    <row r="28">
      <c r="A28" t="n">
        <v>17</v>
      </c>
      <c r="B28">
        <f>IF(A28&lt;=$B$4,$B$3+A28-1,"")</f>
        <v/>
      </c>
      <c r="C28">
        <f>IF(B28="","",INDEX(D_LOT,B28)&amp;"")</f>
        <v/>
      </c>
      <c r="D28">
        <f>IF(B28="","",INDEX(D_SEQ,B28))</f>
        <v/>
      </c>
      <c r="E28">
        <f>IF(B28="","",IFERROR(VALUE(INDEX(D_VAL,B28)&amp;""),""))</f>
        <v/>
      </c>
      <c r="F28">
        <f>IF(B28="","",F27+(C28&lt;&gt;C27))</f>
        <v/>
      </c>
      <c r="G28">
        <f>IF(B28="","",F28&amp;"|"&amp;D28)</f>
        <v/>
      </c>
      <c r="J28" t="n">
        <v>27</v>
      </c>
      <c r="K28">
        <f>IFERROR(INDEX($C$12:$C$761,MATCH(J28,$F$12:$F$761,0)),"")</f>
        <v/>
      </c>
      <c r="L28">
        <f>COUNTIF($F$12:$F$761,J28)</f>
        <v/>
      </c>
      <c r="M28">
        <f>IF(L28=0,"",AVERAGEIF($F$12:$F$761,J28,$E$12:$E$761))</f>
        <v/>
      </c>
      <c r="N28">
        <f>IF(L28=0,"",MAX(INDEX($E$12:$E$761,MATCH(J28,$F$12:$F$761,0)):INDEX($E$12:$E$761,MATCH(J28,$F$12:$F$761,0)+L28-1))-MIN(INDEX($E$12:$E$761,MATCH(J28,$F$12:$F$761,0)):INDEX($E$12:$E$761,MATCH(J28,$F$12:$F$761,0)+L28-1)))</f>
        <v/>
      </c>
      <c r="O28">
        <f>IF(AND(J28&lt;=$B$5,L28&gt;0),M28,NA())</f>
        <v/>
      </c>
      <c r="P28">
        <f>IF(J28&lt;=$B$5,IF(ISNUMBER($AO$34),$AO$34,NA()),NA())</f>
        <v/>
      </c>
      <c r="Q28">
        <f>IF(J28&lt;=$B$5,IF(ISNUMBER($AO$35),$AO$35,NA()),NA())</f>
        <v/>
      </c>
      <c r="R28">
        <f>IF(J28&lt;=$B$5,IF(ISNUMBER($AO$36),$AO$36,NA()),NA())</f>
        <v/>
      </c>
      <c r="S28">
        <f>IF(AND(J28&lt;=$B$5,L28&gt;0),IF(OR(M28&gt;P28,M28&lt;R28),M28,NA()),NA())</f>
        <v/>
      </c>
      <c r="T28">
        <f>IF(J28&lt;=$B$5,K28,"")</f>
        <v/>
      </c>
      <c r="U28">
        <f>IF(AND(J28&lt;=$B$5,L28&gt;0),N28,NA())</f>
        <v/>
      </c>
      <c r="V28">
        <f>IF(J28&lt;=$B$5,IF(ISNUMBER($AO$37),$AO$37,NA()),NA())</f>
        <v/>
      </c>
      <c r="W28">
        <f>IF(J28&lt;=$B$5,IF(ISNUMBER($AO$38),$AO$38,NA()),NA())</f>
        <v/>
      </c>
      <c r="X28">
        <f>IF(J28&lt;=$B$5,IF(ISNUMBER($AO$39),$AO$39,NA()),NA())</f>
        <v/>
      </c>
      <c r="Y28">
        <f>IF(AND(J28&lt;=$B$5,L28&gt;0),IF(N28&gt;V28,N28,NA()),NA())</f>
        <v/>
      </c>
      <c r="AB28">
        <f>$AB$2+(22-1)*$AB$3</f>
        <v/>
      </c>
      <c r="AC28">
        <f>AB28+$AB$3/2</f>
        <v/>
      </c>
      <c r="AD28">
        <f>TEXT(AC28,IF($AB$3&lt;0.1,"0.00",IF($AB$3&lt;1,"0.0","0")))</f>
        <v/>
      </c>
      <c r="AE28">
        <f>IF($B$4=0,0,COUNTIFS('계산'!$E$12:$E$761,"&gt;="&amp;AB28,'계산'!$E$12:$E$761,"&lt;"&amp;AB28+$AB$3))</f>
        <v/>
      </c>
      <c r="AF28">
        <f>IF(AND(ISNUMBER($AO$20),ISNUMBER($AO$18)),$AO$18*$AB$3*NORMDIST(AC28,$AO$19,$AO$20,FALSE),NA())</f>
        <v/>
      </c>
      <c r="AG28">
        <f>IF(AND(ISNUMBER($AO$21),ISNUMBER($AO$18)),$AO$18*$AB$3*NORMDIST(AC28,$AO$19,$AO$21,FALSE),NA())</f>
        <v/>
      </c>
      <c r="AH28">
        <f>IF(ISNUMBER($AO$15),IF(AND($AO$15&gt;=AB28,$AO$15&lt;AB28+$AB$3),$AB$4,NA()),NA())</f>
        <v/>
      </c>
      <c r="AI28">
        <f>IF(ISNUMBER($AO$16),IF(AND($AO$16&gt;=AB28,$AO$16&lt;AB28+$AB$3),$AB$4,NA()),NA())</f>
        <v/>
      </c>
      <c r="AJ28">
        <f>IF(ISNUMBER($AO$17),IF(AND($AO$17&gt;=AB28,$AO$17&lt;AB28+$AB$3),$AB$4,NA()),NA())</f>
        <v/>
      </c>
      <c r="AM28" t="inlineStr">
        <is>
          <t>PPU</t>
        </is>
      </c>
      <c r="AN28">
        <f>IF($B$2="","",IFERROR(INDEX(R_BODY,$B$2,MATCH($AM28,R_HDR,0))&amp;"",""))</f>
        <v/>
      </c>
      <c r="AO28">
        <f>IF(AN28="","",IFERROR(VALUE(AN28),AN28))</f>
        <v/>
      </c>
    </row>
    <row r="29">
      <c r="A29" t="n">
        <v>18</v>
      </c>
      <c r="B29">
        <f>IF(A29&lt;=$B$4,$B$3+A29-1,"")</f>
        <v/>
      </c>
      <c r="C29">
        <f>IF(B29="","",INDEX(D_LOT,B29)&amp;"")</f>
        <v/>
      </c>
      <c r="D29">
        <f>IF(B29="","",INDEX(D_SEQ,B29))</f>
        <v/>
      </c>
      <c r="E29">
        <f>IF(B29="","",IFERROR(VALUE(INDEX(D_VAL,B29)&amp;""),""))</f>
        <v/>
      </c>
      <c r="F29">
        <f>IF(B29="","",F28+(C29&lt;&gt;C28))</f>
        <v/>
      </c>
      <c r="G29">
        <f>IF(B29="","",F29&amp;"|"&amp;D29)</f>
        <v/>
      </c>
      <c r="J29" t="n">
        <v>28</v>
      </c>
      <c r="K29">
        <f>IFERROR(INDEX($C$12:$C$761,MATCH(J29,$F$12:$F$761,0)),"")</f>
        <v/>
      </c>
      <c r="L29">
        <f>COUNTIF($F$12:$F$761,J29)</f>
        <v/>
      </c>
      <c r="M29">
        <f>IF(L29=0,"",AVERAGEIF($F$12:$F$761,J29,$E$12:$E$761))</f>
        <v/>
      </c>
      <c r="N29">
        <f>IF(L29=0,"",MAX(INDEX($E$12:$E$761,MATCH(J29,$F$12:$F$761,0)):INDEX($E$12:$E$761,MATCH(J29,$F$12:$F$761,0)+L29-1))-MIN(INDEX($E$12:$E$761,MATCH(J29,$F$12:$F$761,0)):INDEX($E$12:$E$761,MATCH(J29,$F$12:$F$761,0)+L29-1)))</f>
        <v/>
      </c>
      <c r="O29">
        <f>IF(AND(J29&lt;=$B$5,L29&gt;0),M29,NA())</f>
        <v/>
      </c>
      <c r="P29">
        <f>IF(J29&lt;=$B$5,IF(ISNUMBER($AO$34),$AO$34,NA()),NA())</f>
        <v/>
      </c>
      <c r="Q29">
        <f>IF(J29&lt;=$B$5,IF(ISNUMBER($AO$35),$AO$35,NA()),NA())</f>
        <v/>
      </c>
      <c r="R29">
        <f>IF(J29&lt;=$B$5,IF(ISNUMBER($AO$36),$AO$36,NA()),NA())</f>
        <v/>
      </c>
      <c r="S29">
        <f>IF(AND(J29&lt;=$B$5,L29&gt;0),IF(OR(M29&gt;P29,M29&lt;R29),M29,NA()),NA())</f>
        <v/>
      </c>
      <c r="T29">
        <f>IF(J29&lt;=$B$5,K29,"")</f>
        <v/>
      </c>
      <c r="U29">
        <f>IF(AND(J29&lt;=$B$5,L29&gt;0),N29,NA())</f>
        <v/>
      </c>
      <c r="V29">
        <f>IF(J29&lt;=$B$5,IF(ISNUMBER($AO$37),$AO$37,NA()),NA())</f>
        <v/>
      </c>
      <c r="W29">
        <f>IF(J29&lt;=$B$5,IF(ISNUMBER($AO$38),$AO$38,NA()),NA())</f>
        <v/>
      </c>
      <c r="X29">
        <f>IF(J29&lt;=$B$5,IF(ISNUMBER($AO$39),$AO$39,NA()),NA())</f>
        <v/>
      </c>
      <c r="Y29">
        <f>IF(AND(J29&lt;=$B$5,L29&gt;0),IF(N29&gt;V29,N29,NA()),NA())</f>
        <v/>
      </c>
      <c r="AB29">
        <f>$AB$2+(23-1)*$AB$3</f>
        <v/>
      </c>
      <c r="AC29">
        <f>AB29+$AB$3/2</f>
        <v/>
      </c>
      <c r="AD29">
        <f>TEXT(AC29,IF($AB$3&lt;0.1,"0.00",IF($AB$3&lt;1,"0.0","0")))</f>
        <v/>
      </c>
      <c r="AE29">
        <f>IF($B$4=0,0,COUNTIFS('계산'!$E$12:$E$761,"&gt;="&amp;AB29,'계산'!$E$12:$E$761,"&lt;"&amp;AB29+$AB$3))</f>
        <v/>
      </c>
      <c r="AF29">
        <f>IF(AND(ISNUMBER($AO$20),ISNUMBER($AO$18)),$AO$18*$AB$3*NORMDIST(AC29,$AO$19,$AO$20,FALSE),NA())</f>
        <v/>
      </c>
      <c r="AG29">
        <f>IF(AND(ISNUMBER($AO$21),ISNUMBER($AO$18)),$AO$18*$AB$3*NORMDIST(AC29,$AO$19,$AO$21,FALSE),NA())</f>
        <v/>
      </c>
      <c r="AH29">
        <f>IF(ISNUMBER($AO$15),IF(AND($AO$15&gt;=AB29,$AO$15&lt;AB29+$AB$3),$AB$4,NA()),NA())</f>
        <v/>
      </c>
      <c r="AI29">
        <f>IF(ISNUMBER($AO$16),IF(AND($AO$16&gt;=AB29,$AO$16&lt;AB29+$AB$3),$AB$4,NA()),NA())</f>
        <v/>
      </c>
      <c r="AJ29">
        <f>IF(ISNUMBER($AO$17),IF(AND($AO$17&gt;=AB29,$AO$17&lt;AB29+$AB$3),$AB$4,NA()),NA())</f>
        <v/>
      </c>
      <c r="AM29" t="inlineStr">
        <is>
          <t>Ppk</t>
        </is>
      </c>
      <c r="AN29">
        <f>IF($B$2="","",IFERROR(INDEX(R_BODY,$B$2,MATCH($AM29,R_HDR,0))&amp;"",""))</f>
        <v/>
      </c>
      <c r="AO29">
        <f>IF(AN29="","",IFERROR(VALUE(AN29),AN29))</f>
        <v/>
      </c>
    </row>
    <row r="30">
      <c r="A30" t="n">
        <v>19</v>
      </c>
      <c r="B30">
        <f>IF(A30&lt;=$B$4,$B$3+A30-1,"")</f>
        <v/>
      </c>
      <c r="C30">
        <f>IF(B30="","",INDEX(D_LOT,B30)&amp;"")</f>
        <v/>
      </c>
      <c r="D30">
        <f>IF(B30="","",INDEX(D_SEQ,B30))</f>
        <v/>
      </c>
      <c r="E30">
        <f>IF(B30="","",IFERROR(VALUE(INDEX(D_VAL,B30)&amp;""),""))</f>
        <v/>
      </c>
      <c r="F30">
        <f>IF(B30="","",F29+(C30&lt;&gt;C29))</f>
        <v/>
      </c>
      <c r="G30">
        <f>IF(B30="","",F30&amp;"|"&amp;D30)</f>
        <v/>
      </c>
      <c r="J30" t="n">
        <v>29</v>
      </c>
      <c r="K30">
        <f>IFERROR(INDEX($C$12:$C$761,MATCH(J30,$F$12:$F$761,0)),"")</f>
        <v/>
      </c>
      <c r="L30">
        <f>COUNTIF($F$12:$F$761,J30)</f>
        <v/>
      </c>
      <c r="M30">
        <f>IF(L30=0,"",AVERAGEIF($F$12:$F$761,J30,$E$12:$E$761))</f>
        <v/>
      </c>
      <c r="N30">
        <f>IF(L30=0,"",MAX(INDEX($E$12:$E$761,MATCH(J30,$F$12:$F$761,0)):INDEX($E$12:$E$761,MATCH(J30,$F$12:$F$761,0)+L30-1))-MIN(INDEX($E$12:$E$761,MATCH(J30,$F$12:$F$761,0)):INDEX($E$12:$E$761,MATCH(J30,$F$12:$F$761,0)+L30-1)))</f>
        <v/>
      </c>
      <c r="O30">
        <f>IF(AND(J30&lt;=$B$5,L30&gt;0),M30,NA())</f>
        <v/>
      </c>
      <c r="P30">
        <f>IF(J30&lt;=$B$5,IF(ISNUMBER($AO$34),$AO$34,NA()),NA())</f>
        <v/>
      </c>
      <c r="Q30">
        <f>IF(J30&lt;=$B$5,IF(ISNUMBER($AO$35),$AO$35,NA()),NA())</f>
        <v/>
      </c>
      <c r="R30">
        <f>IF(J30&lt;=$B$5,IF(ISNUMBER($AO$36),$AO$36,NA()),NA())</f>
        <v/>
      </c>
      <c r="S30">
        <f>IF(AND(J30&lt;=$B$5,L30&gt;0),IF(OR(M30&gt;P30,M30&lt;R30),M30,NA()),NA())</f>
        <v/>
      </c>
      <c r="T30">
        <f>IF(J30&lt;=$B$5,K30,"")</f>
        <v/>
      </c>
      <c r="U30">
        <f>IF(AND(J30&lt;=$B$5,L30&gt;0),N30,NA())</f>
        <v/>
      </c>
      <c r="V30">
        <f>IF(J30&lt;=$B$5,IF(ISNUMBER($AO$37),$AO$37,NA()),NA())</f>
        <v/>
      </c>
      <c r="W30">
        <f>IF(J30&lt;=$B$5,IF(ISNUMBER($AO$38),$AO$38,NA()),NA())</f>
        <v/>
      </c>
      <c r="X30">
        <f>IF(J30&lt;=$B$5,IF(ISNUMBER($AO$39),$AO$39,NA()),NA())</f>
        <v/>
      </c>
      <c r="Y30">
        <f>IF(AND(J30&lt;=$B$5,L30&gt;0),IF(N30&gt;V30,N30,NA()),NA())</f>
        <v/>
      </c>
      <c r="AB30">
        <f>$AB$2+(24-1)*$AB$3</f>
        <v/>
      </c>
      <c r="AC30">
        <f>AB30+$AB$3/2</f>
        <v/>
      </c>
      <c r="AD30">
        <f>TEXT(AC30,IF($AB$3&lt;0.1,"0.00",IF($AB$3&lt;1,"0.0","0")))</f>
        <v/>
      </c>
      <c r="AE30">
        <f>IF($B$4=0,0,COUNTIFS('계산'!$E$12:$E$761,"&gt;="&amp;AB30,'계산'!$E$12:$E$761,"&lt;"&amp;AB30+$AB$3))</f>
        <v/>
      </c>
      <c r="AF30">
        <f>IF(AND(ISNUMBER($AO$20),ISNUMBER($AO$18)),$AO$18*$AB$3*NORMDIST(AC30,$AO$19,$AO$20,FALSE),NA())</f>
        <v/>
      </c>
      <c r="AG30">
        <f>IF(AND(ISNUMBER($AO$21),ISNUMBER($AO$18)),$AO$18*$AB$3*NORMDIST(AC30,$AO$19,$AO$21,FALSE),NA())</f>
        <v/>
      </c>
      <c r="AH30">
        <f>IF(ISNUMBER($AO$15),IF(AND($AO$15&gt;=AB30,$AO$15&lt;AB30+$AB$3),$AB$4,NA()),NA())</f>
        <v/>
      </c>
      <c r="AI30">
        <f>IF(ISNUMBER($AO$16),IF(AND($AO$16&gt;=AB30,$AO$16&lt;AB30+$AB$3),$AB$4,NA()),NA())</f>
        <v/>
      </c>
      <c r="AJ30">
        <f>IF(ISNUMBER($AO$17),IF(AND($AO$17&gt;=AB30,$AO$17&lt;AB30+$AB$3),$AB$4,NA()),NA())</f>
        <v/>
      </c>
      <c r="AM30" t="inlineStr">
        <is>
          <t>Cpm</t>
        </is>
      </c>
      <c r="AN30">
        <f>IF($B$2="","",IFERROR(INDEX(R_BODY,$B$2,MATCH($AM30,R_HDR,0))&amp;"",""))</f>
        <v/>
      </c>
      <c r="AO30">
        <f>IF(AN30="","",IFERROR(VALUE(AN30),AN30))</f>
        <v/>
      </c>
    </row>
    <row r="31">
      <c r="A31" t="n">
        <v>20</v>
      </c>
      <c r="B31">
        <f>IF(A31&lt;=$B$4,$B$3+A31-1,"")</f>
        <v/>
      </c>
      <c r="C31">
        <f>IF(B31="","",INDEX(D_LOT,B31)&amp;"")</f>
        <v/>
      </c>
      <c r="D31">
        <f>IF(B31="","",INDEX(D_SEQ,B31))</f>
        <v/>
      </c>
      <c r="E31">
        <f>IF(B31="","",IFERROR(VALUE(INDEX(D_VAL,B31)&amp;""),""))</f>
        <v/>
      </c>
      <c r="F31">
        <f>IF(B31="","",F30+(C31&lt;&gt;C30))</f>
        <v/>
      </c>
      <c r="G31">
        <f>IF(B31="","",F31&amp;"|"&amp;D31)</f>
        <v/>
      </c>
      <c r="J31" t="n">
        <v>30</v>
      </c>
      <c r="K31">
        <f>IFERROR(INDEX($C$12:$C$761,MATCH(J31,$F$12:$F$761,0)),"")</f>
        <v/>
      </c>
      <c r="L31">
        <f>COUNTIF($F$12:$F$761,J31)</f>
        <v/>
      </c>
      <c r="M31">
        <f>IF(L31=0,"",AVERAGEIF($F$12:$F$761,J31,$E$12:$E$761))</f>
        <v/>
      </c>
      <c r="N31">
        <f>IF(L31=0,"",MAX(INDEX($E$12:$E$761,MATCH(J31,$F$12:$F$761,0)):INDEX($E$12:$E$761,MATCH(J31,$F$12:$F$761,0)+L31-1))-MIN(INDEX($E$12:$E$761,MATCH(J31,$F$12:$F$761,0)):INDEX($E$12:$E$761,MATCH(J31,$F$12:$F$761,0)+L31-1)))</f>
        <v/>
      </c>
      <c r="O31">
        <f>IF(AND(J31&lt;=$B$5,L31&gt;0),M31,NA())</f>
        <v/>
      </c>
      <c r="P31">
        <f>IF(J31&lt;=$B$5,IF(ISNUMBER($AO$34),$AO$34,NA()),NA())</f>
        <v/>
      </c>
      <c r="Q31">
        <f>IF(J31&lt;=$B$5,IF(ISNUMBER($AO$35),$AO$35,NA()),NA())</f>
        <v/>
      </c>
      <c r="R31">
        <f>IF(J31&lt;=$B$5,IF(ISNUMBER($AO$36),$AO$36,NA()),NA())</f>
        <v/>
      </c>
      <c r="S31">
        <f>IF(AND(J31&lt;=$B$5,L31&gt;0),IF(OR(M31&gt;P31,M31&lt;R31),M31,NA()),NA())</f>
        <v/>
      </c>
      <c r="T31">
        <f>IF(J31&lt;=$B$5,K31,"")</f>
        <v/>
      </c>
      <c r="U31">
        <f>IF(AND(J31&lt;=$B$5,L31&gt;0),N31,NA())</f>
        <v/>
      </c>
      <c r="V31">
        <f>IF(J31&lt;=$B$5,IF(ISNUMBER($AO$37),$AO$37,NA()),NA())</f>
        <v/>
      </c>
      <c r="W31">
        <f>IF(J31&lt;=$B$5,IF(ISNUMBER($AO$38),$AO$38,NA()),NA())</f>
        <v/>
      </c>
      <c r="X31">
        <f>IF(J31&lt;=$B$5,IF(ISNUMBER($AO$39),$AO$39,NA()),NA())</f>
        <v/>
      </c>
      <c r="Y31">
        <f>IF(AND(J31&lt;=$B$5,L31&gt;0),IF(N31&gt;V31,N31,NA()),NA())</f>
        <v/>
      </c>
      <c r="AB31">
        <f>$AB$2+(25-1)*$AB$3</f>
        <v/>
      </c>
      <c r="AC31">
        <f>AB31+$AB$3/2</f>
        <v/>
      </c>
      <c r="AD31">
        <f>TEXT(AC31,IF($AB$3&lt;0.1,"0.00",IF($AB$3&lt;1,"0.0","0")))</f>
        <v/>
      </c>
      <c r="AE31">
        <f>IF($B$4=0,0,COUNTIFS('계산'!$E$12:$E$761,"&gt;="&amp;AB31,'계산'!$E$12:$E$761,"&lt;"&amp;AB31+$AB$3))</f>
        <v/>
      </c>
      <c r="AF31">
        <f>IF(AND(ISNUMBER($AO$20),ISNUMBER($AO$18)),$AO$18*$AB$3*NORMDIST(AC31,$AO$19,$AO$20,FALSE),NA())</f>
        <v/>
      </c>
      <c r="AG31">
        <f>IF(AND(ISNUMBER($AO$21),ISNUMBER($AO$18)),$AO$18*$AB$3*NORMDIST(AC31,$AO$19,$AO$21,FALSE),NA())</f>
        <v/>
      </c>
      <c r="AH31">
        <f>IF(ISNUMBER($AO$15),IF(AND($AO$15&gt;=AB31,$AO$15&lt;AB31+$AB$3),$AB$4,NA()),NA())</f>
        <v/>
      </c>
      <c r="AI31">
        <f>IF(ISNUMBER($AO$16),IF(AND($AO$16&gt;=AB31,$AO$16&lt;AB31+$AB$3),$AB$4,NA()),NA())</f>
        <v/>
      </c>
      <c r="AJ31">
        <f>IF(ISNUMBER($AO$17),IF(AND($AO$17&gt;=AB31,$AO$17&lt;AB31+$AB$3),$AB$4,NA()),NA())</f>
        <v/>
      </c>
      <c r="AM31" t="inlineStr">
        <is>
          <t>PPM관측</t>
        </is>
      </c>
      <c r="AN31">
        <f>IF($B$2="","",IFERROR(INDEX(R_BODY,$B$2,MATCH($AM31,R_HDR,0))&amp;"",""))</f>
        <v/>
      </c>
      <c r="AO31">
        <f>IF(AN31="","",IFERROR(VALUE(AN31),AN31))</f>
        <v/>
      </c>
    </row>
    <row r="32">
      <c r="A32" t="n">
        <v>21</v>
      </c>
      <c r="B32">
        <f>IF(A32&lt;=$B$4,$B$3+A32-1,"")</f>
        <v/>
      </c>
      <c r="C32">
        <f>IF(B32="","",INDEX(D_LOT,B32)&amp;"")</f>
        <v/>
      </c>
      <c r="D32">
        <f>IF(B32="","",INDEX(D_SEQ,B32))</f>
        <v/>
      </c>
      <c r="E32">
        <f>IF(B32="","",IFERROR(VALUE(INDEX(D_VAL,B32)&amp;""),""))</f>
        <v/>
      </c>
      <c r="F32">
        <f>IF(B32="","",F31+(C32&lt;&gt;C31))</f>
        <v/>
      </c>
      <c r="G32">
        <f>IF(B32="","",F32&amp;"|"&amp;D32)</f>
        <v/>
      </c>
      <c r="AB32">
        <f>$AB$2+(26-1)*$AB$3</f>
        <v/>
      </c>
      <c r="AC32">
        <f>AB32+$AB$3/2</f>
        <v/>
      </c>
      <c r="AD32">
        <f>TEXT(AC32,IF($AB$3&lt;0.1,"0.00",IF($AB$3&lt;1,"0.0","0")))</f>
        <v/>
      </c>
      <c r="AE32">
        <f>IF($B$4=0,0,COUNTIFS('계산'!$E$12:$E$761,"&gt;="&amp;AB32,'계산'!$E$12:$E$761,"&lt;"&amp;AB32+$AB$3))</f>
        <v/>
      </c>
      <c r="AF32">
        <f>IF(AND(ISNUMBER($AO$20),ISNUMBER($AO$18)),$AO$18*$AB$3*NORMDIST(AC32,$AO$19,$AO$20,FALSE),NA())</f>
        <v/>
      </c>
      <c r="AG32">
        <f>IF(AND(ISNUMBER($AO$21),ISNUMBER($AO$18)),$AO$18*$AB$3*NORMDIST(AC32,$AO$19,$AO$21,FALSE),NA())</f>
        <v/>
      </c>
      <c r="AH32">
        <f>IF(ISNUMBER($AO$15),IF(AND($AO$15&gt;=AB32,$AO$15&lt;AB32+$AB$3),$AB$4,NA()),NA())</f>
        <v/>
      </c>
      <c r="AI32">
        <f>IF(ISNUMBER($AO$16),IF(AND($AO$16&gt;=AB32,$AO$16&lt;AB32+$AB$3),$AB$4,NA()),NA())</f>
        <v/>
      </c>
      <c r="AJ32">
        <f>IF(ISNUMBER($AO$17),IF(AND($AO$17&gt;=AB32,$AO$17&lt;AB32+$AB$3),$AB$4,NA()),NA())</f>
        <v/>
      </c>
      <c r="AM32" t="inlineStr">
        <is>
          <t>PPM기대(전체)</t>
        </is>
      </c>
      <c r="AN32">
        <f>IF($B$2="","",IFERROR(INDEX(R_BODY,$B$2,MATCH($AM32,R_HDR,0))&amp;"",""))</f>
        <v/>
      </c>
      <c r="AO32">
        <f>IF(AN32="","",IFERROR(VALUE(AN32),AN32))</f>
        <v/>
      </c>
    </row>
    <row r="33">
      <c r="A33" t="n">
        <v>22</v>
      </c>
      <c r="B33">
        <f>IF(A33&lt;=$B$4,$B$3+A33-1,"")</f>
        <v/>
      </c>
      <c r="C33">
        <f>IF(B33="","",INDEX(D_LOT,B33)&amp;"")</f>
        <v/>
      </c>
      <c r="D33">
        <f>IF(B33="","",INDEX(D_SEQ,B33))</f>
        <v/>
      </c>
      <c r="E33">
        <f>IF(B33="","",IFERROR(VALUE(INDEX(D_VAL,B33)&amp;""),""))</f>
        <v/>
      </c>
      <c r="F33">
        <f>IF(B33="","",F32+(C33&lt;&gt;C32))</f>
        <v/>
      </c>
      <c r="G33">
        <f>IF(B33="","",F33&amp;"|"&amp;D33)</f>
        <v/>
      </c>
      <c r="AB33">
        <f>$AB$2+(27-1)*$AB$3</f>
        <v/>
      </c>
      <c r="AC33">
        <f>AB33+$AB$3/2</f>
        <v/>
      </c>
      <c r="AD33">
        <f>TEXT(AC33,IF($AB$3&lt;0.1,"0.00",IF($AB$3&lt;1,"0.0","0")))</f>
        <v/>
      </c>
      <c r="AE33">
        <f>IF($B$4=0,0,COUNTIFS('계산'!$E$12:$E$761,"&gt;="&amp;AB33,'계산'!$E$12:$E$761,"&lt;"&amp;AB33+$AB$3))</f>
        <v/>
      </c>
      <c r="AF33">
        <f>IF(AND(ISNUMBER($AO$20),ISNUMBER($AO$18)),$AO$18*$AB$3*NORMDIST(AC33,$AO$19,$AO$20,FALSE),NA())</f>
        <v/>
      </c>
      <c r="AG33">
        <f>IF(AND(ISNUMBER($AO$21),ISNUMBER($AO$18)),$AO$18*$AB$3*NORMDIST(AC33,$AO$19,$AO$21,FALSE),NA())</f>
        <v/>
      </c>
      <c r="AH33">
        <f>IF(ISNUMBER($AO$15),IF(AND($AO$15&gt;=AB33,$AO$15&lt;AB33+$AB$3),$AB$4,NA()),NA())</f>
        <v/>
      </c>
      <c r="AI33">
        <f>IF(ISNUMBER($AO$16),IF(AND($AO$16&gt;=AB33,$AO$16&lt;AB33+$AB$3),$AB$4,NA()),NA())</f>
        <v/>
      </c>
      <c r="AJ33">
        <f>IF(ISNUMBER($AO$17),IF(AND($AO$17&gt;=AB33,$AO$17&lt;AB33+$AB$3),$AB$4,NA()),NA())</f>
        <v/>
      </c>
      <c r="AM33" t="inlineStr">
        <is>
          <t>PPM기대(군내)</t>
        </is>
      </c>
      <c r="AN33">
        <f>IF($B$2="","",IFERROR(INDEX(R_BODY,$B$2,MATCH($AM33,R_HDR,0))&amp;"",""))</f>
        <v/>
      </c>
      <c r="AO33">
        <f>IF(AN33="","",IFERROR(VALUE(AN33),AN33))</f>
        <v/>
      </c>
    </row>
    <row r="34">
      <c r="A34" t="n">
        <v>23</v>
      </c>
      <c r="B34">
        <f>IF(A34&lt;=$B$4,$B$3+A34-1,"")</f>
        <v/>
      </c>
      <c r="C34">
        <f>IF(B34="","",INDEX(D_LOT,B34)&amp;"")</f>
        <v/>
      </c>
      <c r="D34">
        <f>IF(B34="","",INDEX(D_SEQ,B34))</f>
        <v/>
      </c>
      <c r="E34">
        <f>IF(B34="","",IFERROR(VALUE(INDEX(D_VAL,B34)&amp;""),""))</f>
        <v/>
      </c>
      <c r="F34">
        <f>IF(B34="","",F33+(C34&lt;&gt;C33))</f>
        <v/>
      </c>
      <c r="G34">
        <f>IF(B34="","",F34&amp;"|"&amp;D34)</f>
        <v/>
      </c>
      <c r="AB34">
        <f>$AB$2+(28-1)*$AB$3</f>
        <v/>
      </c>
      <c r="AC34">
        <f>AB34+$AB$3/2</f>
        <v/>
      </c>
      <c r="AD34">
        <f>TEXT(AC34,IF($AB$3&lt;0.1,"0.00",IF($AB$3&lt;1,"0.0","0")))</f>
        <v/>
      </c>
      <c r="AE34">
        <f>IF($B$4=0,0,COUNTIFS('계산'!$E$12:$E$761,"&gt;="&amp;AB34,'계산'!$E$12:$E$761,"&lt;"&amp;AB34+$AB$3))</f>
        <v/>
      </c>
      <c r="AF34">
        <f>IF(AND(ISNUMBER($AO$20),ISNUMBER($AO$18)),$AO$18*$AB$3*NORMDIST(AC34,$AO$19,$AO$20,FALSE),NA())</f>
        <v/>
      </c>
      <c r="AG34">
        <f>IF(AND(ISNUMBER($AO$21),ISNUMBER($AO$18)),$AO$18*$AB$3*NORMDIST(AC34,$AO$19,$AO$21,FALSE),NA())</f>
        <v/>
      </c>
      <c r="AH34">
        <f>IF(ISNUMBER($AO$15),IF(AND($AO$15&gt;=AB34,$AO$15&lt;AB34+$AB$3),$AB$4,NA()),NA())</f>
        <v/>
      </c>
      <c r="AI34">
        <f>IF(ISNUMBER($AO$16),IF(AND($AO$16&gt;=AB34,$AO$16&lt;AB34+$AB$3),$AB$4,NA()),NA())</f>
        <v/>
      </c>
      <c r="AJ34">
        <f>IF(ISNUMBER($AO$17),IF(AND($AO$17&gt;=AB34,$AO$17&lt;AB34+$AB$3),$AB$4,NA()),NA())</f>
        <v/>
      </c>
      <c r="AM34" t="inlineStr">
        <is>
          <t>Xbar UCL</t>
        </is>
      </c>
      <c r="AN34">
        <f>IF($B$2="","",IFERROR(INDEX(R_BODY,$B$2,MATCH($AM34,R_HDR,0))&amp;"",""))</f>
        <v/>
      </c>
      <c r="AO34">
        <f>IF(AN34="","",IFERROR(VALUE(AN34),AN34))</f>
        <v/>
      </c>
    </row>
    <row r="35">
      <c r="A35" t="n">
        <v>24</v>
      </c>
      <c r="B35">
        <f>IF(A35&lt;=$B$4,$B$3+A35-1,"")</f>
        <v/>
      </c>
      <c r="C35">
        <f>IF(B35="","",INDEX(D_LOT,B35)&amp;"")</f>
        <v/>
      </c>
      <c r="D35">
        <f>IF(B35="","",INDEX(D_SEQ,B35))</f>
        <v/>
      </c>
      <c r="E35">
        <f>IF(B35="","",IFERROR(VALUE(INDEX(D_VAL,B35)&amp;""),""))</f>
        <v/>
      </c>
      <c r="F35">
        <f>IF(B35="","",F34+(C35&lt;&gt;C34))</f>
        <v/>
      </c>
      <c r="G35">
        <f>IF(B35="","",F35&amp;"|"&amp;D35)</f>
        <v/>
      </c>
      <c r="AB35">
        <f>$AB$2+(29-1)*$AB$3</f>
        <v/>
      </c>
      <c r="AC35">
        <f>AB35+$AB$3/2</f>
        <v/>
      </c>
      <c r="AD35">
        <f>TEXT(AC35,IF($AB$3&lt;0.1,"0.00",IF($AB$3&lt;1,"0.0","0")))</f>
        <v/>
      </c>
      <c r="AE35">
        <f>IF($B$4=0,0,COUNTIFS('계산'!$E$12:$E$761,"&gt;="&amp;AB35,'계산'!$E$12:$E$761,"&lt;"&amp;AB35+$AB$3))</f>
        <v/>
      </c>
      <c r="AF35">
        <f>IF(AND(ISNUMBER($AO$20),ISNUMBER($AO$18)),$AO$18*$AB$3*NORMDIST(AC35,$AO$19,$AO$20,FALSE),NA())</f>
        <v/>
      </c>
      <c r="AG35">
        <f>IF(AND(ISNUMBER($AO$21),ISNUMBER($AO$18)),$AO$18*$AB$3*NORMDIST(AC35,$AO$19,$AO$21,FALSE),NA())</f>
        <v/>
      </c>
      <c r="AH35">
        <f>IF(ISNUMBER($AO$15),IF(AND($AO$15&gt;=AB35,$AO$15&lt;AB35+$AB$3),$AB$4,NA()),NA())</f>
        <v/>
      </c>
      <c r="AI35">
        <f>IF(ISNUMBER($AO$16),IF(AND($AO$16&gt;=AB35,$AO$16&lt;AB35+$AB$3),$AB$4,NA()),NA())</f>
        <v/>
      </c>
      <c r="AJ35">
        <f>IF(ISNUMBER($AO$17),IF(AND($AO$17&gt;=AB35,$AO$17&lt;AB35+$AB$3),$AB$4,NA()),NA())</f>
        <v/>
      </c>
      <c r="AM35" t="inlineStr">
        <is>
          <t>Xbar CL</t>
        </is>
      </c>
      <c r="AN35">
        <f>IF($B$2="","",IFERROR(INDEX(R_BODY,$B$2,MATCH($AM35,R_HDR,0))&amp;"",""))</f>
        <v/>
      </c>
      <c r="AO35">
        <f>IF(AN35="","",IFERROR(VALUE(AN35),AN35))</f>
        <v/>
      </c>
    </row>
    <row r="36">
      <c r="A36" t="n">
        <v>25</v>
      </c>
      <c r="B36">
        <f>IF(A36&lt;=$B$4,$B$3+A36-1,"")</f>
        <v/>
      </c>
      <c r="C36">
        <f>IF(B36="","",INDEX(D_LOT,B36)&amp;"")</f>
        <v/>
      </c>
      <c r="D36">
        <f>IF(B36="","",INDEX(D_SEQ,B36))</f>
        <v/>
      </c>
      <c r="E36">
        <f>IF(B36="","",IFERROR(VALUE(INDEX(D_VAL,B36)&amp;""),""))</f>
        <v/>
      </c>
      <c r="F36">
        <f>IF(B36="","",F35+(C36&lt;&gt;C35))</f>
        <v/>
      </c>
      <c r="G36">
        <f>IF(B36="","",F36&amp;"|"&amp;D36)</f>
        <v/>
      </c>
      <c r="AB36">
        <f>$AB$2+(30-1)*$AB$3</f>
        <v/>
      </c>
      <c r="AC36">
        <f>AB36+$AB$3/2</f>
        <v/>
      </c>
      <c r="AD36">
        <f>TEXT(AC36,IF($AB$3&lt;0.1,"0.00",IF($AB$3&lt;1,"0.0","0")))</f>
        <v/>
      </c>
      <c r="AE36">
        <f>IF($B$4=0,0,COUNTIFS('계산'!$E$12:$E$761,"&gt;="&amp;AB36,'계산'!$E$12:$E$761,"&lt;"&amp;AB36+$AB$3))</f>
        <v/>
      </c>
      <c r="AF36">
        <f>IF(AND(ISNUMBER($AO$20),ISNUMBER($AO$18)),$AO$18*$AB$3*NORMDIST(AC36,$AO$19,$AO$20,FALSE),NA())</f>
        <v/>
      </c>
      <c r="AG36">
        <f>IF(AND(ISNUMBER($AO$21),ISNUMBER($AO$18)),$AO$18*$AB$3*NORMDIST(AC36,$AO$19,$AO$21,FALSE),NA())</f>
        <v/>
      </c>
      <c r="AH36">
        <f>IF(ISNUMBER($AO$15),IF(AND($AO$15&gt;=AB36,$AO$15&lt;AB36+$AB$3),$AB$4,NA()),NA())</f>
        <v/>
      </c>
      <c r="AI36">
        <f>IF(ISNUMBER($AO$16),IF(AND($AO$16&gt;=AB36,$AO$16&lt;AB36+$AB$3),$AB$4,NA()),NA())</f>
        <v/>
      </c>
      <c r="AJ36">
        <f>IF(ISNUMBER($AO$17),IF(AND($AO$17&gt;=AB36,$AO$17&lt;AB36+$AB$3),$AB$4,NA()),NA())</f>
        <v/>
      </c>
      <c r="AM36" t="inlineStr">
        <is>
          <t>Xbar LCL</t>
        </is>
      </c>
      <c r="AN36">
        <f>IF($B$2="","",IFERROR(INDEX(R_BODY,$B$2,MATCH($AM36,R_HDR,0))&amp;"",""))</f>
        <v/>
      </c>
      <c r="AO36">
        <f>IF(AN36="","",IFERROR(VALUE(AN36),AN36))</f>
        <v/>
      </c>
    </row>
    <row r="37">
      <c r="A37" t="n">
        <v>26</v>
      </c>
      <c r="B37">
        <f>IF(A37&lt;=$B$4,$B$3+A37-1,"")</f>
        <v/>
      </c>
      <c r="C37">
        <f>IF(B37="","",INDEX(D_LOT,B37)&amp;"")</f>
        <v/>
      </c>
      <c r="D37">
        <f>IF(B37="","",INDEX(D_SEQ,B37))</f>
        <v/>
      </c>
      <c r="E37">
        <f>IF(B37="","",IFERROR(VALUE(INDEX(D_VAL,B37)&amp;""),""))</f>
        <v/>
      </c>
      <c r="F37">
        <f>IF(B37="","",F36+(C37&lt;&gt;C36))</f>
        <v/>
      </c>
      <c r="G37">
        <f>IF(B37="","",F37&amp;"|"&amp;D37)</f>
        <v/>
      </c>
      <c r="AB37">
        <f>$AB$2+(31-1)*$AB$3</f>
        <v/>
      </c>
      <c r="AC37">
        <f>AB37+$AB$3/2</f>
        <v/>
      </c>
      <c r="AD37">
        <f>TEXT(AC37,IF($AB$3&lt;0.1,"0.00",IF($AB$3&lt;1,"0.0","0")))</f>
        <v/>
      </c>
      <c r="AE37">
        <f>IF($B$4=0,0,COUNTIFS('계산'!$E$12:$E$761,"&gt;="&amp;AB37,'계산'!$E$12:$E$761,"&lt;"&amp;AB37+$AB$3))</f>
        <v/>
      </c>
      <c r="AF37">
        <f>IF(AND(ISNUMBER($AO$20),ISNUMBER($AO$18)),$AO$18*$AB$3*NORMDIST(AC37,$AO$19,$AO$20,FALSE),NA())</f>
        <v/>
      </c>
      <c r="AG37">
        <f>IF(AND(ISNUMBER($AO$21),ISNUMBER($AO$18)),$AO$18*$AB$3*NORMDIST(AC37,$AO$19,$AO$21,FALSE),NA())</f>
        <v/>
      </c>
      <c r="AH37">
        <f>IF(ISNUMBER($AO$15),IF(AND($AO$15&gt;=AB37,$AO$15&lt;AB37+$AB$3),$AB$4,NA()),NA())</f>
        <v/>
      </c>
      <c r="AI37">
        <f>IF(ISNUMBER($AO$16),IF(AND($AO$16&gt;=AB37,$AO$16&lt;AB37+$AB$3),$AB$4,NA()),NA())</f>
        <v/>
      </c>
      <c r="AJ37">
        <f>IF(ISNUMBER($AO$17),IF(AND($AO$17&gt;=AB37,$AO$17&lt;AB37+$AB$3),$AB$4,NA()),NA())</f>
        <v/>
      </c>
      <c r="AM37" t="inlineStr">
        <is>
          <t>R UCL</t>
        </is>
      </c>
      <c r="AN37">
        <f>IF($B$2="","",IFERROR(INDEX(R_BODY,$B$2,MATCH($AM37,R_HDR,0))&amp;"",""))</f>
        <v/>
      </c>
      <c r="AO37">
        <f>IF(AN37="","",IFERROR(VALUE(AN37),AN37))</f>
        <v/>
      </c>
    </row>
    <row r="38">
      <c r="A38" t="n">
        <v>27</v>
      </c>
      <c r="B38">
        <f>IF(A38&lt;=$B$4,$B$3+A38-1,"")</f>
        <v/>
      </c>
      <c r="C38">
        <f>IF(B38="","",INDEX(D_LOT,B38)&amp;"")</f>
        <v/>
      </c>
      <c r="D38">
        <f>IF(B38="","",INDEX(D_SEQ,B38))</f>
        <v/>
      </c>
      <c r="E38">
        <f>IF(B38="","",IFERROR(VALUE(INDEX(D_VAL,B38)&amp;""),""))</f>
        <v/>
      </c>
      <c r="F38">
        <f>IF(B38="","",F37+(C38&lt;&gt;C37))</f>
        <v/>
      </c>
      <c r="G38">
        <f>IF(B38="","",F38&amp;"|"&amp;D38)</f>
        <v/>
      </c>
      <c r="AB38">
        <f>$AB$2+(32-1)*$AB$3</f>
        <v/>
      </c>
      <c r="AC38">
        <f>AB38+$AB$3/2</f>
        <v/>
      </c>
      <c r="AD38">
        <f>TEXT(AC38,IF($AB$3&lt;0.1,"0.00",IF($AB$3&lt;1,"0.0","0")))</f>
        <v/>
      </c>
      <c r="AE38">
        <f>IF($B$4=0,0,COUNTIFS('계산'!$E$12:$E$761,"&gt;="&amp;AB38,'계산'!$E$12:$E$761,"&lt;"&amp;AB38+$AB$3))</f>
        <v/>
      </c>
      <c r="AF38">
        <f>IF(AND(ISNUMBER($AO$20),ISNUMBER($AO$18)),$AO$18*$AB$3*NORMDIST(AC38,$AO$19,$AO$20,FALSE),NA())</f>
        <v/>
      </c>
      <c r="AG38">
        <f>IF(AND(ISNUMBER($AO$21),ISNUMBER($AO$18)),$AO$18*$AB$3*NORMDIST(AC38,$AO$19,$AO$21,FALSE),NA())</f>
        <v/>
      </c>
      <c r="AH38">
        <f>IF(ISNUMBER($AO$15),IF(AND($AO$15&gt;=AB38,$AO$15&lt;AB38+$AB$3),$AB$4,NA()),NA())</f>
        <v/>
      </c>
      <c r="AI38">
        <f>IF(ISNUMBER($AO$16),IF(AND($AO$16&gt;=AB38,$AO$16&lt;AB38+$AB$3),$AB$4,NA()),NA())</f>
        <v/>
      </c>
      <c r="AJ38">
        <f>IF(ISNUMBER($AO$17),IF(AND($AO$17&gt;=AB38,$AO$17&lt;AB38+$AB$3),$AB$4,NA()),NA())</f>
        <v/>
      </c>
      <c r="AM38" t="inlineStr">
        <is>
          <t>R CL</t>
        </is>
      </c>
      <c r="AN38">
        <f>IF($B$2="","",IFERROR(INDEX(R_BODY,$B$2,MATCH($AM38,R_HDR,0))&amp;"",""))</f>
        <v/>
      </c>
      <c r="AO38">
        <f>IF(AN38="","",IFERROR(VALUE(AN38),AN38))</f>
        <v/>
      </c>
    </row>
    <row r="39">
      <c r="A39" t="n">
        <v>28</v>
      </c>
      <c r="B39">
        <f>IF(A39&lt;=$B$4,$B$3+A39-1,"")</f>
        <v/>
      </c>
      <c r="C39">
        <f>IF(B39="","",INDEX(D_LOT,B39)&amp;"")</f>
        <v/>
      </c>
      <c r="D39">
        <f>IF(B39="","",INDEX(D_SEQ,B39))</f>
        <v/>
      </c>
      <c r="E39">
        <f>IF(B39="","",IFERROR(VALUE(INDEX(D_VAL,B39)&amp;""),""))</f>
        <v/>
      </c>
      <c r="F39">
        <f>IF(B39="","",F38+(C39&lt;&gt;C38))</f>
        <v/>
      </c>
      <c r="G39">
        <f>IF(B39="","",F39&amp;"|"&amp;D39)</f>
        <v/>
      </c>
      <c r="AB39">
        <f>$AB$2+(33-1)*$AB$3</f>
        <v/>
      </c>
      <c r="AC39">
        <f>AB39+$AB$3/2</f>
        <v/>
      </c>
      <c r="AD39">
        <f>TEXT(AC39,IF($AB$3&lt;0.1,"0.00",IF($AB$3&lt;1,"0.0","0")))</f>
        <v/>
      </c>
      <c r="AE39">
        <f>IF($B$4=0,0,COUNTIFS('계산'!$E$12:$E$761,"&gt;="&amp;AB39,'계산'!$E$12:$E$761,"&lt;"&amp;AB39+$AB$3))</f>
        <v/>
      </c>
      <c r="AF39">
        <f>IF(AND(ISNUMBER($AO$20),ISNUMBER($AO$18)),$AO$18*$AB$3*NORMDIST(AC39,$AO$19,$AO$20,FALSE),NA())</f>
        <v/>
      </c>
      <c r="AG39">
        <f>IF(AND(ISNUMBER($AO$21),ISNUMBER($AO$18)),$AO$18*$AB$3*NORMDIST(AC39,$AO$19,$AO$21,FALSE),NA())</f>
        <v/>
      </c>
      <c r="AH39">
        <f>IF(ISNUMBER($AO$15),IF(AND($AO$15&gt;=AB39,$AO$15&lt;AB39+$AB$3),$AB$4,NA()),NA())</f>
        <v/>
      </c>
      <c r="AI39">
        <f>IF(ISNUMBER($AO$16),IF(AND($AO$16&gt;=AB39,$AO$16&lt;AB39+$AB$3),$AB$4,NA()),NA())</f>
        <v/>
      </c>
      <c r="AJ39">
        <f>IF(ISNUMBER($AO$17),IF(AND($AO$17&gt;=AB39,$AO$17&lt;AB39+$AB$3),$AB$4,NA()),NA())</f>
        <v/>
      </c>
      <c r="AM39" t="inlineStr">
        <is>
          <t>R USL</t>
        </is>
      </c>
      <c r="AN39">
        <f>IF($B$2="","",IFERROR(INDEX(R_BODY,$B$2,MATCH($AM39,R_HDR,0))&amp;"",""))</f>
        <v/>
      </c>
      <c r="AO39">
        <f>IF(AN39="","",IFERROR(VALUE(AN39),AN39))</f>
        <v/>
      </c>
    </row>
    <row r="40">
      <c r="A40" t="n">
        <v>29</v>
      </c>
      <c r="B40">
        <f>IF(A40&lt;=$B$4,$B$3+A40-1,"")</f>
        <v/>
      </c>
      <c r="C40">
        <f>IF(B40="","",INDEX(D_LOT,B40)&amp;"")</f>
        <v/>
      </c>
      <c r="D40">
        <f>IF(B40="","",INDEX(D_SEQ,B40))</f>
        <v/>
      </c>
      <c r="E40">
        <f>IF(B40="","",IFERROR(VALUE(INDEX(D_VAL,B40)&amp;""),""))</f>
        <v/>
      </c>
      <c r="F40">
        <f>IF(B40="","",F39+(C40&lt;&gt;C39))</f>
        <v/>
      </c>
      <c r="G40">
        <f>IF(B40="","",F40&amp;"|"&amp;D40)</f>
        <v/>
      </c>
      <c r="AB40">
        <f>$AB$2+(34-1)*$AB$3</f>
        <v/>
      </c>
      <c r="AC40">
        <f>AB40+$AB$3/2</f>
        <v/>
      </c>
      <c r="AD40">
        <f>TEXT(AC40,IF($AB$3&lt;0.1,"0.00",IF($AB$3&lt;1,"0.0","0")))</f>
        <v/>
      </c>
      <c r="AE40">
        <f>IF($B$4=0,0,COUNTIFS('계산'!$E$12:$E$761,"&gt;="&amp;AB40,'계산'!$E$12:$E$761,"&lt;"&amp;AB40+$AB$3))</f>
        <v/>
      </c>
      <c r="AF40">
        <f>IF(AND(ISNUMBER($AO$20),ISNUMBER($AO$18)),$AO$18*$AB$3*NORMDIST(AC40,$AO$19,$AO$20,FALSE),NA())</f>
        <v/>
      </c>
      <c r="AG40">
        <f>IF(AND(ISNUMBER($AO$21),ISNUMBER($AO$18)),$AO$18*$AB$3*NORMDIST(AC40,$AO$19,$AO$21,FALSE),NA())</f>
        <v/>
      </c>
      <c r="AH40">
        <f>IF(ISNUMBER($AO$15),IF(AND($AO$15&gt;=AB40,$AO$15&lt;AB40+$AB$3),$AB$4,NA()),NA())</f>
        <v/>
      </c>
      <c r="AI40">
        <f>IF(ISNUMBER($AO$16),IF(AND($AO$16&gt;=AB40,$AO$16&lt;AB40+$AB$3),$AB$4,NA()),NA())</f>
        <v/>
      </c>
      <c r="AJ40">
        <f>IF(ISNUMBER($AO$17),IF(AND($AO$17&gt;=AB40,$AO$17&lt;AB40+$AB$3),$AB$4,NA()),NA())</f>
        <v/>
      </c>
      <c r="AM40" t="inlineStr">
        <is>
          <t>Xbar 이탈수</t>
        </is>
      </c>
      <c r="AN40">
        <f>IF($B$2="","",IFERROR(INDEX(R_BODY,$B$2,MATCH($AM40,R_HDR,0))&amp;"",""))</f>
        <v/>
      </c>
      <c r="AO40">
        <f>IF(AN40="","",IFERROR(VALUE(AN40),AN40))</f>
        <v/>
      </c>
    </row>
    <row r="41">
      <c r="A41" t="n">
        <v>30</v>
      </c>
      <c r="B41">
        <f>IF(A41&lt;=$B$4,$B$3+A41-1,"")</f>
        <v/>
      </c>
      <c r="C41">
        <f>IF(B41="","",INDEX(D_LOT,B41)&amp;"")</f>
        <v/>
      </c>
      <c r="D41">
        <f>IF(B41="","",INDEX(D_SEQ,B41))</f>
        <v/>
      </c>
      <c r="E41">
        <f>IF(B41="","",IFERROR(VALUE(INDEX(D_VAL,B41)&amp;""),""))</f>
        <v/>
      </c>
      <c r="F41">
        <f>IF(B41="","",F40+(C41&lt;&gt;C40))</f>
        <v/>
      </c>
      <c r="G41">
        <f>IF(B41="","",F41&amp;"|"&amp;D41)</f>
        <v/>
      </c>
      <c r="AB41">
        <f>$AB$2+(35-1)*$AB$3</f>
        <v/>
      </c>
      <c r="AC41">
        <f>AB41+$AB$3/2</f>
        <v/>
      </c>
      <c r="AD41">
        <f>TEXT(AC41,IF($AB$3&lt;0.1,"0.00",IF($AB$3&lt;1,"0.0","0")))</f>
        <v/>
      </c>
      <c r="AE41">
        <f>IF($B$4=0,0,COUNTIFS('계산'!$E$12:$E$761,"&gt;="&amp;AB41,'계산'!$E$12:$E$761,"&lt;"&amp;AB41+$AB$3))</f>
        <v/>
      </c>
      <c r="AF41">
        <f>IF(AND(ISNUMBER($AO$20),ISNUMBER($AO$18)),$AO$18*$AB$3*NORMDIST(AC41,$AO$19,$AO$20,FALSE),NA())</f>
        <v/>
      </c>
      <c r="AG41">
        <f>IF(AND(ISNUMBER($AO$21),ISNUMBER($AO$18)),$AO$18*$AB$3*NORMDIST(AC41,$AO$19,$AO$21,FALSE),NA())</f>
        <v/>
      </c>
      <c r="AH41">
        <f>IF(ISNUMBER($AO$15),IF(AND($AO$15&gt;=AB41,$AO$15&lt;AB41+$AB$3),$AB$4,NA()),NA())</f>
        <v/>
      </c>
      <c r="AI41">
        <f>IF(ISNUMBER($AO$16),IF(AND($AO$16&gt;=AB41,$AO$16&lt;AB41+$AB$3),$AB$4,NA()),NA())</f>
        <v/>
      </c>
      <c r="AJ41">
        <f>IF(ISNUMBER($AO$17),IF(AND($AO$17&gt;=AB41,$AO$17&lt;AB41+$AB$3),$AB$4,NA()),NA())</f>
        <v/>
      </c>
      <c r="AM41" t="inlineStr">
        <is>
          <t>R 이탈수</t>
        </is>
      </c>
      <c r="AN41">
        <f>IF($B$2="","",IFERROR(INDEX(R_BODY,$B$2,MATCH($AM41,R_HDR,0))&amp;"",""))</f>
        <v/>
      </c>
      <c r="AO41">
        <f>IF(AN41="","",IFERROR(VALUE(AN41),AN41))</f>
        <v/>
      </c>
    </row>
    <row r="42">
      <c r="A42" t="n">
        <v>31</v>
      </c>
      <c r="B42">
        <f>IF(A42&lt;=$B$4,$B$3+A42-1,"")</f>
        <v/>
      </c>
      <c r="C42">
        <f>IF(B42="","",INDEX(D_LOT,B42)&amp;"")</f>
        <v/>
      </c>
      <c r="D42">
        <f>IF(B42="","",INDEX(D_SEQ,B42))</f>
        <v/>
      </c>
      <c r="E42">
        <f>IF(B42="","",IFERROR(VALUE(INDEX(D_VAL,B42)&amp;""),""))</f>
        <v/>
      </c>
      <c r="F42">
        <f>IF(B42="","",F41+(C42&lt;&gt;C41))</f>
        <v/>
      </c>
      <c r="G42">
        <f>IF(B42="","",F42&amp;"|"&amp;D42)</f>
        <v/>
      </c>
      <c r="AB42">
        <f>$AB$2+(36-1)*$AB$3</f>
        <v/>
      </c>
      <c r="AC42">
        <f>AB42+$AB$3/2</f>
        <v/>
      </c>
      <c r="AD42">
        <f>TEXT(AC42,IF($AB$3&lt;0.1,"0.00",IF($AB$3&lt;1,"0.0","0")))</f>
        <v/>
      </c>
      <c r="AE42">
        <f>IF($B$4=0,0,COUNTIFS('계산'!$E$12:$E$761,"&gt;="&amp;AB42,'계산'!$E$12:$E$761,"&lt;"&amp;AB42+$AB$3))</f>
        <v/>
      </c>
      <c r="AF42">
        <f>IF(AND(ISNUMBER($AO$20),ISNUMBER($AO$18)),$AO$18*$AB$3*NORMDIST(AC42,$AO$19,$AO$20,FALSE),NA())</f>
        <v/>
      </c>
      <c r="AG42">
        <f>IF(AND(ISNUMBER($AO$21),ISNUMBER($AO$18)),$AO$18*$AB$3*NORMDIST(AC42,$AO$19,$AO$21,FALSE),NA())</f>
        <v/>
      </c>
      <c r="AH42">
        <f>IF(ISNUMBER($AO$15),IF(AND($AO$15&gt;=AB42,$AO$15&lt;AB42+$AB$3),$AB$4,NA()),NA())</f>
        <v/>
      </c>
      <c r="AI42">
        <f>IF(ISNUMBER($AO$16),IF(AND($AO$16&gt;=AB42,$AO$16&lt;AB42+$AB$3),$AB$4,NA()),NA())</f>
        <v/>
      </c>
      <c r="AJ42">
        <f>IF(ISNUMBER($AO$17),IF(AND($AO$17&gt;=AB42,$AO$17&lt;AB42+$AB$3),$AB$4,NA()),NA())</f>
        <v/>
      </c>
    </row>
    <row r="43">
      <c r="A43" t="n">
        <v>32</v>
      </c>
      <c r="B43">
        <f>IF(A43&lt;=$B$4,$B$3+A43-1,"")</f>
        <v/>
      </c>
      <c r="C43">
        <f>IF(B43="","",INDEX(D_LOT,B43)&amp;"")</f>
        <v/>
      </c>
      <c r="D43">
        <f>IF(B43="","",INDEX(D_SEQ,B43))</f>
        <v/>
      </c>
      <c r="E43">
        <f>IF(B43="","",IFERROR(VALUE(INDEX(D_VAL,B43)&amp;""),""))</f>
        <v/>
      </c>
      <c r="F43">
        <f>IF(B43="","",F42+(C43&lt;&gt;C42))</f>
        <v/>
      </c>
      <c r="G43">
        <f>IF(B43="","",F43&amp;"|"&amp;D43)</f>
        <v/>
      </c>
      <c r="AB43">
        <f>$AB$2+(37-1)*$AB$3</f>
        <v/>
      </c>
      <c r="AC43">
        <f>AB43+$AB$3/2</f>
        <v/>
      </c>
      <c r="AD43">
        <f>TEXT(AC43,IF($AB$3&lt;0.1,"0.00",IF($AB$3&lt;1,"0.0","0")))</f>
        <v/>
      </c>
      <c r="AE43">
        <f>IF($B$4=0,0,COUNTIFS('계산'!$E$12:$E$761,"&gt;="&amp;AB43,'계산'!$E$12:$E$761,"&lt;"&amp;AB43+$AB$3))</f>
        <v/>
      </c>
      <c r="AF43">
        <f>IF(AND(ISNUMBER($AO$20),ISNUMBER($AO$18)),$AO$18*$AB$3*NORMDIST(AC43,$AO$19,$AO$20,FALSE),NA())</f>
        <v/>
      </c>
      <c r="AG43">
        <f>IF(AND(ISNUMBER($AO$21),ISNUMBER($AO$18)),$AO$18*$AB$3*NORMDIST(AC43,$AO$19,$AO$21,FALSE),NA())</f>
        <v/>
      </c>
      <c r="AH43">
        <f>IF(ISNUMBER($AO$15),IF(AND($AO$15&gt;=AB43,$AO$15&lt;AB43+$AB$3),$AB$4,NA()),NA())</f>
        <v/>
      </c>
      <c r="AI43">
        <f>IF(ISNUMBER($AO$16),IF(AND($AO$16&gt;=AB43,$AO$16&lt;AB43+$AB$3),$AB$4,NA()),NA())</f>
        <v/>
      </c>
      <c r="AJ43">
        <f>IF(ISNUMBER($AO$17),IF(AND($AO$17&gt;=AB43,$AO$17&lt;AB43+$AB$3),$AB$4,NA()),NA())</f>
        <v/>
      </c>
    </row>
    <row r="44">
      <c r="A44" t="n">
        <v>33</v>
      </c>
      <c r="B44">
        <f>IF(A44&lt;=$B$4,$B$3+A44-1,"")</f>
        <v/>
      </c>
      <c r="C44">
        <f>IF(B44="","",INDEX(D_LOT,B44)&amp;"")</f>
        <v/>
      </c>
      <c r="D44">
        <f>IF(B44="","",INDEX(D_SEQ,B44))</f>
        <v/>
      </c>
      <c r="E44">
        <f>IF(B44="","",IFERROR(VALUE(INDEX(D_VAL,B44)&amp;""),""))</f>
        <v/>
      </c>
      <c r="F44">
        <f>IF(B44="","",F43+(C44&lt;&gt;C43))</f>
        <v/>
      </c>
      <c r="G44">
        <f>IF(B44="","",F44&amp;"|"&amp;D44)</f>
        <v/>
      </c>
      <c r="AB44">
        <f>$AB$2+(38-1)*$AB$3</f>
        <v/>
      </c>
      <c r="AC44">
        <f>AB44+$AB$3/2</f>
        <v/>
      </c>
      <c r="AD44">
        <f>TEXT(AC44,IF($AB$3&lt;0.1,"0.00",IF($AB$3&lt;1,"0.0","0")))</f>
        <v/>
      </c>
      <c r="AE44">
        <f>IF($B$4=0,0,COUNTIFS('계산'!$E$12:$E$761,"&gt;="&amp;AB44,'계산'!$E$12:$E$761,"&lt;"&amp;AB44+$AB$3))</f>
        <v/>
      </c>
      <c r="AF44">
        <f>IF(AND(ISNUMBER($AO$20),ISNUMBER($AO$18)),$AO$18*$AB$3*NORMDIST(AC44,$AO$19,$AO$20,FALSE),NA())</f>
        <v/>
      </c>
      <c r="AG44">
        <f>IF(AND(ISNUMBER($AO$21),ISNUMBER($AO$18)),$AO$18*$AB$3*NORMDIST(AC44,$AO$19,$AO$21,FALSE),NA())</f>
        <v/>
      </c>
      <c r="AH44">
        <f>IF(ISNUMBER($AO$15),IF(AND($AO$15&gt;=AB44,$AO$15&lt;AB44+$AB$3),$AB$4,NA()),NA())</f>
        <v/>
      </c>
      <c r="AI44">
        <f>IF(ISNUMBER($AO$16),IF(AND($AO$16&gt;=AB44,$AO$16&lt;AB44+$AB$3),$AB$4,NA()),NA())</f>
        <v/>
      </c>
      <c r="AJ44">
        <f>IF(ISNUMBER($AO$17),IF(AND($AO$17&gt;=AB44,$AO$17&lt;AB44+$AB$3),$AB$4,NA()),NA())</f>
        <v/>
      </c>
    </row>
    <row r="45">
      <c r="A45" t="n">
        <v>34</v>
      </c>
      <c r="B45">
        <f>IF(A45&lt;=$B$4,$B$3+A45-1,"")</f>
        <v/>
      </c>
      <c r="C45">
        <f>IF(B45="","",INDEX(D_LOT,B45)&amp;"")</f>
        <v/>
      </c>
      <c r="D45">
        <f>IF(B45="","",INDEX(D_SEQ,B45))</f>
        <v/>
      </c>
      <c r="E45">
        <f>IF(B45="","",IFERROR(VALUE(INDEX(D_VAL,B45)&amp;""),""))</f>
        <v/>
      </c>
      <c r="F45">
        <f>IF(B45="","",F44+(C45&lt;&gt;C44))</f>
        <v/>
      </c>
      <c r="G45">
        <f>IF(B45="","",F45&amp;"|"&amp;D45)</f>
        <v/>
      </c>
      <c r="AB45">
        <f>$AB$2+(39-1)*$AB$3</f>
        <v/>
      </c>
      <c r="AC45">
        <f>AB45+$AB$3/2</f>
        <v/>
      </c>
      <c r="AD45">
        <f>TEXT(AC45,IF($AB$3&lt;0.1,"0.00",IF($AB$3&lt;1,"0.0","0")))</f>
        <v/>
      </c>
      <c r="AE45">
        <f>IF($B$4=0,0,COUNTIFS('계산'!$E$12:$E$761,"&gt;="&amp;AB45,'계산'!$E$12:$E$761,"&lt;"&amp;AB45+$AB$3))</f>
        <v/>
      </c>
      <c r="AF45">
        <f>IF(AND(ISNUMBER($AO$20),ISNUMBER($AO$18)),$AO$18*$AB$3*NORMDIST(AC45,$AO$19,$AO$20,FALSE),NA())</f>
        <v/>
      </c>
      <c r="AG45">
        <f>IF(AND(ISNUMBER($AO$21),ISNUMBER($AO$18)),$AO$18*$AB$3*NORMDIST(AC45,$AO$19,$AO$21,FALSE),NA())</f>
        <v/>
      </c>
      <c r="AH45">
        <f>IF(ISNUMBER($AO$15),IF(AND($AO$15&gt;=AB45,$AO$15&lt;AB45+$AB$3),$AB$4,NA()),NA())</f>
        <v/>
      </c>
      <c r="AI45">
        <f>IF(ISNUMBER($AO$16),IF(AND($AO$16&gt;=AB45,$AO$16&lt;AB45+$AB$3),$AB$4,NA()),NA())</f>
        <v/>
      </c>
      <c r="AJ45">
        <f>IF(ISNUMBER($AO$17),IF(AND($AO$17&gt;=AB45,$AO$17&lt;AB45+$AB$3),$AB$4,NA()),NA())</f>
        <v/>
      </c>
    </row>
    <row r="46">
      <c r="A46" t="n">
        <v>35</v>
      </c>
      <c r="B46">
        <f>IF(A46&lt;=$B$4,$B$3+A46-1,"")</f>
        <v/>
      </c>
      <c r="C46">
        <f>IF(B46="","",INDEX(D_LOT,B46)&amp;"")</f>
        <v/>
      </c>
      <c r="D46">
        <f>IF(B46="","",INDEX(D_SEQ,B46))</f>
        <v/>
      </c>
      <c r="E46">
        <f>IF(B46="","",IFERROR(VALUE(INDEX(D_VAL,B46)&amp;""),""))</f>
        <v/>
      </c>
      <c r="F46">
        <f>IF(B46="","",F45+(C46&lt;&gt;C45))</f>
        <v/>
      </c>
      <c r="G46">
        <f>IF(B46="","",F46&amp;"|"&amp;D46)</f>
        <v/>
      </c>
      <c r="AB46">
        <f>$AB$2+(40-1)*$AB$3</f>
        <v/>
      </c>
      <c r="AC46">
        <f>AB46+$AB$3/2</f>
        <v/>
      </c>
      <c r="AD46">
        <f>TEXT(AC46,IF($AB$3&lt;0.1,"0.00",IF($AB$3&lt;1,"0.0","0")))</f>
        <v/>
      </c>
      <c r="AE46">
        <f>IF($B$4=0,0,COUNTIFS('계산'!$E$12:$E$761,"&gt;="&amp;AB46,'계산'!$E$12:$E$761,"&lt;"&amp;AB46+$AB$3))</f>
        <v/>
      </c>
      <c r="AF46">
        <f>IF(AND(ISNUMBER($AO$20),ISNUMBER($AO$18)),$AO$18*$AB$3*NORMDIST(AC46,$AO$19,$AO$20,FALSE),NA())</f>
        <v/>
      </c>
      <c r="AG46">
        <f>IF(AND(ISNUMBER($AO$21),ISNUMBER($AO$18)),$AO$18*$AB$3*NORMDIST(AC46,$AO$19,$AO$21,FALSE),NA())</f>
        <v/>
      </c>
      <c r="AH46">
        <f>IF(ISNUMBER($AO$15),IF(AND($AO$15&gt;=AB46,$AO$15&lt;AB46+$AB$3),$AB$4,NA()),NA())</f>
        <v/>
      </c>
      <c r="AI46">
        <f>IF(ISNUMBER($AO$16),IF(AND($AO$16&gt;=AB46,$AO$16&lt;AB46+$AB$3),$AB$4,NA()),NA())</f>
        <v/>
      </c>
      <c r="AJ46">
        <f>IF(ISNUMBER($AO$17),IF(AND($AO$17&gt;=AB46,$AO$17&lt;AB46+$AB$3),$AB$4,NA()),NA())</f>
        <v/>
      </c>
    </row>
    <row r="47">
      <c r="A47" t="n">
        <v>36</v>
      </c>
      <c r="B47">
        <f>IF(A47&lt;=$B$4,$B$3+A47-1,"")</f>
        <v/>
      </c>
      <c r="C47">
        <f>IF(B47="","",INDEX(D_LOT,B47)&amp;"")</f>
        <v/>
      </c>
      <c r="D47">
        <f>IF(B47="","",INDEX(D_SEQ,B47))</f>
        <v/>
      </c>
      <c r="E47">
        <f>IF(B47="","",IFERROR(VALUE(INDEX(D_VAL,B47)&amp;""),""))</f>
        <v/>
      </c>
      <c r="F47">
        <f>IF(B47="","",F46+(C47&lt;&gt;C46))</f>
        <v/>
      </c>
      <c r="G47">
        <f>IF(B47="","",F47&amp;"|"&amp;D47)</f>
        <v/>
      </c>
      <c r="AB47">
        <f>$AB$2+(41-1)*$AB$3</f>
        <v/>
      </c>
      <c r="AC47">
        <f>AB47+$AB$3/2</f>
        <v/>
      </c>
      <c r="AD47">
        <f>TEXT(AC47,IF($AB$3&lt;0.1,"0.00",IF($AB$3&lt;1,"0.0","0")))</f>
        <v/>
      </c>
      <c r="AE47">
        <f>IF($B$4=0,0,COUNTIFS('계산'!$E$12:$E$761,"&gt;="&amp;AB47,'계산'!$E$12:$E$761,"&lt;"&amp;AB47+$AB$3))</f>
        <v/>
      </c>
      <c r="AF47">
        <f>IF(AND(ISNUMBER($AO$20),ISNUMBER($AO$18)),$AO$18*$AB$3*NORMDIST(AC47,$AO$19,$AO$20,FALSE),NA())</f>
        <v/>
      </c>
      <c r="AG47">
        <f>IF(AND(ISNUMBER($AO$21),ISNUMBER($AO$18)),$AO$18*$AB$3*NORMDIST(AC47,$AO$19,$AO$21,FALSE),NA())</f>
        <v/>
      </c>
      <c r="AH47">
        <f>IF(ISNUMBER($AO$15),IF(AND($AO$15&gt;=AB47,$AO$15&lt;AB47+$AB$3),$AB$4,NA()),NA())</f>
        <v/>
      </c>
      <c r="AI47">
        <f>IF(ISNUMBER($AO$16),IF(AND($AO$16&gt;=AB47,$AO$16&lt;AB47+$AB$3),$AB$4,NA()),NA())</f>
        <v/>
      </c>
      <c r="AJ47">
        <f>IF(ISNUMBER($AO$17),IF(AND($AO$17&gt;=AB47,$AO$17&lt;AB47+$AB$3),$AB$4,NA()),NA())</f>
        <v/>
      </c>
    </row>
    <row r="48">
      <c r="A48" t="n">
        <v>37</v>
      </c>
      <c r="B48">
        <f>IF(A48&lt;=$B$4,$B$3+A48-1,"")</f>
        <v/>
      </c>
      <c r="C48">
        <f>IF(B48="","",INDEX(D_LOT,B48)&amp;"")</f>
        <v/>
      </c>
      <c r="D48">
        <f>IF(B48="","",INDEX(D_SEQ,B48))</f>
        <v/>
      </c>
      <c r="E48">
        <f>IF(B48="","",IFERROR(VALUE(INDEX(D_VAL,B48)&amp;""),""))</f>
        <v/>
      </c>
      <c r="F48">
        <f>IF(B48="","",F47+(C48&lt;&gt;C47))</f>
        <v/>
      </c>
      <c r="G48">
        <f>IF(B48="","",F48&amp;"|"&amp;D48)</f>
        <v/>
      </c>
      <c r="AB48">
        <f>$AB$2+(42-1)*$AB$3</f>
        <v/>
      </c>
      <c r="AC48">
        <f>AB48+$AB$3/2</f>
        <v/>
      </c>
      <c r="AD48">
        <f>TEXT(AC48,IF($AB$3&lt;0.1,"0.00",IF($AB$3&lt;1,"0.0","0")))</f>
        <v/>
      </c>
      <c r="AE48">
        <f>IF($B$4=0,0,COUNTIFS('계산'!$E$12:$E$761,"&gt;="&amp;AB48,'계산'!$E$12:$E$761,"&lt;"&amp;AB48+$AB$3))</f>
        <v/>
      </c>
      <c r="AF48">
        <f>IF(AND(ISNUMBER($AO$20),ISNUMBER($AO$18)),$AO$18*$AB$3*NORMDIST(AC48,$AO$19,$AO$20,FALSE),NA())</f>
        <v/>
      </c>
      <c r="AG48">
        <f>IF(AND(ISNUMBER($AO$21),ISNUMBER($AO$18)),$AO$18*$AB$3*NORMDIST(AC48,$AO$19,$AO$21,FALSE),NA())</f>
        <v/>
      </c>
      <c r="AH48">
        <f>IF(ISNUMBER($AO$15),IF(AND($AO$15&gt;=AB48,$AO$15&lt;AB48+$AB$3),$AB$4,NA()),NA())</f>
        <v/>
      </c>
      <c r="AI48">
        <f>IF(ISNUMBER($AO$16),IF(AND($AO$16&gt;=AB48,$AO$16&lt;AB48+$AB$3),$AB$4,NA()),NA())</f>
        <v/>
      </c>
      <c r="AJ48">
        <f>IF(ISNUMBER($AO$17),IF(AND($AO$17&gt;=AB48,$AO$17&lt;AB48+$AB$3),$AB$4,NA()),NA())</f>
        <v/>
      </c>
    </row>
    <row r="49">
      <c r="A49" t="n">
        <v>38</v>
      </c>
      <c r="B49">
        <f>IF(A49&lt;=$B$4,$B$3+A49-1,"")</f>
        <v/>
      </c>
      <c r="C49">
        <f>IF(B49="","",INDEX(D_LOT,B49)&amp;"")</f>
        <v/>
      </c>
      <c r="D49">
        <f>IF(B49="","",INDEX(D_SEQ,B49))</f>
        <v/>
      </c>
      <c r="E49">
        <f>IF(B49="","",IFERROR(VALUE(INDEX(D_VAL,B49)&amp;""),""))</f>
        <v/>
      </c>
      <c r="F49">
        <f>IF(B49="","",F48+(C49&lt;&gt;C48))</f>
        <v/>
      </c>
      <c r="G49">
        <f>IF(B49="","",F49&amp;"|"&amp;D49)</f>
        <v/>
      </c>
      <c r="AB49">
        <f>$AB$2+(43-1)*$AB$3</f>
        <v/>
      </c>
      <c r="AC49">
        <f>AB49+$AB$3/2</f>
        <v/>
      </c>
      <c r="AD49">
        <f>TEXT(AC49,IF($AB$3&lt;0.1,"0.00",IF($AB$3&lt;1,"0.0","0")))</f>
        <v/>
      </c>
      <c r="AE49">
        <f>IF($B$4=0,0,COUNTIFS('계산'!$E$12:$E$761,"&gt;="&amp;AB49,'계산'!$E$12:$E$761,"&lt;"&amp;AB49+$AB$3))</f>
        <v/>
      </c>
      <c r="AF49">
        <f>IF(AND(ISNUMBER($AO$20),ISNUMBER($AO$18)),$AO$18*$AB$3*NORMDIST(AC49,$AO$19,$AO$20,FALSE),NA())</f>
        <v/>
      </c>
      <c r="AG49">
        <f>IF(AND(ISNUMBER($AO$21),ISNUMBER($AO$18)),$AO$18*$AB$3*NORMDIST(AC49,$AO$19,$AO$21,FALSE),NA())</f>
        <v/>
      </c>
      <c r="AH49">
        <f>IF(ISNUMBER($AO$15),IF(AND($AO$15&gt;=AB49,$AO$15&lt;AB49+$AB$3),$AB$4,NA()),NA())</f>
        <v/>
      </c>
      <c r="AI49">
        <f>IF(ISNUMBER($AO$16),IF(AND($AO$16&gt;=AB49,$AO$16&lt;AB49+$AB$3),$AB$4,NA()),NA())</f>
        <v/>
      </c>
      <c r="AJ49">
        <f>IF(ISNUMBER($AO$17),IF(AND($AO$17&gt;=AB49,$AO$17&lt;AB49+$AB$3),$AB$4,NA()),NA())</f>
        <v/>
      </c>
    </row>
    <row r="50">
      <c r="A50" t="n">
        <v>39</v>
      </c>
      <c r="B50">
        <f>IF(A50&lt;=$B$4,$B$3+A50-1,"")</f>
        <v/>
      </c>
      <c r="C50">
        <f>IF(B50="","",INDEX(D_LOT,B50)&amp;"")</f>
        <v/>
      </c>
      <c r="D50">
        <f>IF(B50="","",INDEX(D_SEQ,B50))</f>
        <v/>
      </c>
      <c r="E50">
        <f>IF(B50="","",IFERROR(VALUE(INDEX(D_VAL,B50)&amp;""),""))</f>
        <v/>
      </c>
      <c r="F50">
        <f>IF(B50="","",F49+(C50&lt;&gt;C49))</f>
        <v/>
      </c>
      <c r="G50">
        <f>IF(B50="","",F50&amp;"|"&amp;D50)</f>
        <v/>
      </c>
      <c r="AB50">
        <f>$AB$2+(44-1)*$AB$3</f>
        <v/>
      </c>
      <c r="AC50">
        <f>AB50+$AB$3/2</f>
        <v/>
      </c>
      <c r="AD50">
        <f>TEXT(AC50,IF($AB$3&lt;0.1,"0.00",IF($AB$3&lt;1,"0.0","0")))</f>
        <v/>
      </c>
      <c r="AE50">
        <f>IF($B$4=0,0,COUNTIFS('계산'!$E$12:$E$761,"&gt;="&amp;AB50,'계산'!$E$12:$E$761,"&lt;"&amp;AB50+$AB$3))</f>
        <v/>
      </c>
      <c r="AF50">
        <f>IF(AND(ISNUMBER($AO$20),ISNUMBER($AO$18)),$AO$18*$AB$3*NORMDIST(AC50,$AO$19,$AO$20,FALSE),NA())</f>
        <v/>
      </c>
      <c r="AG50">
        <f>IF(AND(ISNUMBER($AO$21),ISNUMBER($AO$18)),$AO$18*$AB$3*NORMDIST(AC50,$AO$19,$AO$21,FALSE),NA())</f>
        <v/>
      </c>
      <c r="AH50">
        <f>IF(ISNUMBER($AO$15),IF(AND($AO$15&gt;=AB50,$AO$15&lt;AB50+$AB$3),$AB$4,NA()),NA())</f>
        <v/>
      </c>
      <c r="AI50">
        <f>IF(ISNUMBER($AO$16),IF(AND($AO$16&gt;=AB50,$AO$16&lt;AB50+$AB$3),$AB$4,NA()),NA())</f>
        <v/>
      </c>
      <c r="AJ50">
        <f>IF(ISNUMBER($AO$17),IF(AND($AO$17&gt;=AB50,$AO$17&lt;AB50+$AB$3),$AB$4,NA()),NA())</f>
        <v/>
      </c>
    </row>
    <row r="51">
      <c r="A51" t="n">
        <v>40</v>
      </c>
      <c r="B51">
        <f>IF(A51&lt;=$B$4,$B$3+A51-1,"")</f>
        <v/>
      </c>
      <c r="C51">
        <f>IF(B51="","",INDEX(D_LOT,B51)&amp;"")</f>
        <v/>
      </c>
      <c r="D51">
        <f>IF(B51="","",INDEX(D_SEQ,B51))</f>
        <v/>
      </c>
      <c r="E51">
        <f>IF(B51="","",IFERROR(VALUE(INDEX(D_VAL,B51)&amp;""),""))</f>
        <v/>
      </c>
      <c r="F51">
        <f>IF(B51="","",F50+(C51&lt;&gt;C50))</f>
        <v/>
      </c>
      <c r="G51">
        <f>IF(B51="","",F51&amp;"|"&amp;D51)</f>
        <v/>
      </c>
      <c r="AB51">
        <f>$AB$2+(45-1)*$AB$3</f>
        <v/>
      </c>
      <c r="AC51">
        <f>AB51+$AB$3/2</f>
        <v/>
      </c>
      <c r="AD51">
        <f>TEXT(AC51,IF($AB$3&lt;0.1,"0.00",IF($AB$3&lt;1,"0.0","0")))</f>
        <v/>
      </c>
      <c r="AE51">
        <f>IF($B$4=0,0,COUNTIFS('계산'!$E$12:$E$761,"&gt;="&amp;AB51,'계산'!$E$12:$E$761,"&lt;"&amp;AB51+$AB$3))</f>
        <v/>
      </c>
      <c r="AF51">
        <f>IF(AND(ISNUMBER($AO$20),ISNUMBER($AO$18)),$AO$18*$AB$3*NORMDIST(AC51,$AO$19,$AO$20,FALSE),NA())</f>
        <v/>
      </c>
      <c r="AG51">
        <f>IF(AND(ISNUMBER($AO$21),ISNUMBER($AO$18)),$AO$18*$AB$3*NORMDIST(AC51,$AO$19,$AO$21,FALSE),NA())</f>
        <v/>
      </c>
      <c r="AH51">
        <f>IF(ISNUMBER($AO$15),IF(AND($AO$15&gt;=AB51,$AO$15&lt;AB51+$AB$3),$AB$4,NA()),NA())</f>
        <v/>
      </c>
      <c r="AI51">
        <f>IF(ISNUMBER($AO$16),IF(AND($AO$16&gt;=AB51,$AO$16&lt;AB51+$AB$3),$AB$4,NA()),NA())</f>
        <v/>
      </c>
      <c r="AJ51">
        <f>IF(ISNUMBER($AO$17),IF(AND($AO$17&gt;=AB51,$AO$17&lt;AB51+$AB$3),$AB$4,NA()),NA())</f>
        <v/>
      </c>
    </row>
    <row r="52">
      <c r="A52" t="n">
        <v>41</v>
      </c>
      <c r="B52">
        <f>IF(A52&lt;=$B$4,$B$3+A52-1,"")</f>
        <v/>
      </c>
      <c r="C52">
        <f>IF(B52="","",INDEX(D_LOT,B52)&amp;"")</f>
        <v/>
      </c>
      <c r="D52">
        <f>IF(B52="","",INDEX(D_SEQ,B52))</f>
        <v/>
      </c>
      <c r="E52">
        <f>IF(B52="","",IFERROR(VALUE(INDEX(D_VAL,B52)&amp;""),""))</f>
        <v/>
      </c>
      <c r="F52">
        <f>IF(B52="","",F51+(C52&lt;&gt;C51))</f>
        <v/>
      </c>
      <c r="G52">
        <f>IF(B52="","",F52&amp;"|"&amp;D52)</f>
        <v/>
      </c>
      <c r="AB52">
        <f>$AB$2+(46-1)*$AB$3</f>
        <v/>
      </c>
      <c r="AC52">
        <f>AB52+$AB$3/2</f>
        <v/>
      </c>
      <c r="AD52">
        <f>TEXT(AC52,IF($AB$3&lt;0.1,"0.00",IF($AB$3&lt;1,"0.0","0")))</f>
        <v/>
      </c>
      <c r="AE52">
        <f>IF($B$4=0,0,COUNTIFS('계산'!$E$12:$E$761,"&gt;="&amp;AB52,'계산'!$E$12:$E$761,"&lt;"&amp;AB52+$AB$3))</f>
        <v/>
      </c>
      <c r="AF52">
        <f>IF(AND(ISNUMBER($AO$20),ISNUMBER($AO$18)),$AO$18*$AB$3*NORMDIST(AC52,$AO$19,$AO$20,FALSE),NA())</f>
        <v/>
      </c>
      <c r="AG52">
        <f>IF(AND(ISNUMBER($AO$21),ISNUMBER($AO$18)),$AO$18*$AB$3*NORMDIST(AC52,$AO$19,$AO$21,FALSE),NA())</f>
        <v/>
      </c>
      <c r="AH52">
        <f>IF(ISNUMBER($AO$15),IF(AND($AO$15&gt;=AB52,$AO$15&lt;AB52+$AB$3),$AB$4,NA()),NA())</f>
        <v/>
      </c>
      <c r="AI52">
        <f>IF(ISNUMBER($AO$16),IF(AND($AO$16&gt;=AB52,$AO$16&lt;AB52+$AB$3),$AB$4,NA()),NA())</f>
        <v/>
      </c>
      <c r="AJ52">
        <f>IF(ISNUMBER($AO$17),IF(AND($AO$17&gt;=AB52,$AO$17&lt;AB52+$AB$3),$AB$4,NA()),NA())</f>
        <v/>
      </c>
    </row>
    <row r="53">
      <c r="A53" t="n">
        <v>42</v>
      </c>
      <c r="B53">
        <f>IF(A53&lt;=$B$4,$B$3+A53-1,"")</f>
        <v/>
      </c>
      <c r="C53">
        <f>IF(B53="","",INDEX(D_LOT,B53)&amp;"")</f>
        <v/>
      </c>
      <c r="D53">
        <f>IF(B53="","",INDEX(D_SEQ,B53))</f>
        <v/>
      </c>
      <c r="E53">
        <f>IF(B53="","",IFERROR(VALUE(INDEX(D_VAL,B53)&amp;""),""))</f>
        <v/>
      </c>
      <c r="F53">
        <f>IF(B53="","",F52+(C53&lt;&gt;C52))</f>
        <v/>
      </c>
      <c r="G53">
        <f>IF(B53="","",F53&amp;"|"&amp;D53)</f>
        <v/>
      </c>
      <c r="AB53">
        <f>$AB$2+(47-1)*$AB$3</f>
        <v/>
      </c>
      <c r="AC53">
        <f>AB53+$AB$3/2</f>
        <v/>
      </c>
      <c r="AD53">
        <f>TEXT(AC53,IF($AB$3&lt;0.1,"0.00",IF($AB$3&lt;1,"0.0","0")))</f>
        <v/>
      </c>
      <c r="AE53">
        <f>IF($B$4=0,0,COUNTIFS('계산'!$E$12:$E$761,"&gt;="&amp;AB53,'계산'!$E$12:$E$761,"&lt;"&amp;AB53+$AB$3))</f>
        <v/>
      </c>
      <c r="AF53">
        <f>IF(AND(ISNUMBER($AO$20),ISNUMBER($AO$18)),$AO$18*$AB$3*NORMDIST(AC53,$AO$19,$AO$20,FALSE),NA())</f>
        <v/>
      </c>
      <c r="AG53">
        <f>IF(AND(ISNUMBER($AO$21),ISNUMBER($AO$18)),$AO$18*$AB$3*NORMDIST(AC53,$AO$19,$AO$21,FALSE),NA())</f>
        <v/>
      </c>
      <c r="AH53">
        <f>IF(ISNUMBER($AO$15),IF(AND($AO$15&gt;=AB53,$AO$15&lt;AB53+$AB$3),$AB$4,NA()),NA())</f>
        <v/>
      </c>
      <c r="AI53">
        <f>IF(ISNUMBER($AO$16),IF(AND($AO$16&gt;=AB53,$AO$16&lt;AB53+$AB$3),$AB$4,NA()),NA())</f>
        <v/>
      </c>
      <c r="AJ53">
        <f>IF(ISNUMBER($AO$17),IF(AND($AO$17&gt;=AB53,$AO$17&lt;AB53+$AB$3),$AB$4,NA()),NA())</f>
        <v/>
      </c>
    </row>
    <row r="54">
      <c r="A54" t="n">
        <v>43</v>
      </c>
      <c r="B54">
        <f>IF(A54&lt;=$B$4,$B$3+A54-1,"")</f>
        <v/>
      </c>
      <c r="C54">
        <f>IF(B54="","",INDEX(D_LOT,B54)&amp;"")</f>
        <v/>
      </c>
      <c r="D54">
        <f>IF(B54="","",INDEX(D_SEQ,B54))</f>
        <v/>
      </c>
      <c r="E54">
        <f>IF(B54="","",IFERROR(VALUE(INDEX(D_VAL,B54)&amp;""),""))</f>
        <v/>
      </c>
      <c r="F54">
        <f>IF(B54="","",F53+(C54&lt;&gt;C53))</f>
        <v/>
      </c>
      <c r="G54">
        <f>IF(B54="","",F54&amp;"|"&amp;D54)</f>
        <v/>
      </c>
      <c r="AB54">
        <f>$AB$2+(48-1)*$AB$3</f>
        <v/>
      </c>
      <c r="AC54">
        <f>AB54+$AB$3/2</f>
        <v/>
      </c>
      <c r="AD54">
        <f>TEXT(AC54,IF($AB$3&lt;0.1,"0.00",IF($AB$3&lt;1,"0.0","0")))</f>
        <v/>
      </c>
      <c r="AE54">
        <f>IF($B$4=0,0,COUNTIFS('계산'!$E$12:$E$761,"&gt;="&amp;AB54,'계산'!$E$12:$E$761,"&lt;"&amp;AB54+$AB$3))</f>
        <v/>
      </c>
      <c r="AF54">
        <f>IF(AND(ISNUMBER($AO$20),ISNUMBER($AO$18)),$AO$18*$AB$3*NORMDIST(AC54,$AO$19,$AO$20,FALSE),NA())</f>
        <v/>
      </c>
      <c r="AG54">
        <f>IF(AND(ISNUMBER($AO$21),ISNUMBER($AO$18)),$AO$18*$AB$3*NORMDIST(AC54,$AO$19,$AO$21,FALSE),NA())</f>
        <v/>
      </c>
      <c r="AH54">
        <f>IF(ISNUMBER($AO$15),IF(AND($AO$15&gt;=AB54,$AO$15&lt;AB54+$AB$3),$AB$4,NA()),NA())</f>
        <v/>
      </c>
      <c r="AI54">
        <f>IF(ISNUMBER($AO$16),IF(AND($AO$16&gt;=AB54,$AO$16&lt;AB54+$AB$3),$AB$4,NA()),NA())</f>
        <v/>
      </c>
      <c r="AJ54">
        <f>IF(ISNUMBER($AO$17),IF(AND($AO$17&gt;=AB54,$AO$17&lt;AB54+$AB$3),$AB$4,NA()),NA())</f>
        <v/>
      </c>
    </row>
    <row r="55">
      <c r="A55" t="n">
        <v>44</v>
      </c>
      <c r="B55">
        <f>IF(A55&lt;=$B$4,$B$3+A55-1,"")</f>
        <v/>
      </c>
      <c r="C55">
        <f>IF(B55="","",INDEX(D_LOT,B55)&amp;"")</f>
        <v/>
      </c>
      <c r="D55">
        <f>IF(B55="","",INDEX(D_SEQ,B55))</f>
        <v/>
      </c>
      <c r="E55">
        <f>IF(B55="","",IFERROR(VALUE(INDEX(D_VAL,B55)&amp;""),""))</f>
        <v/>
      </c>
      <c r="F55">
        <f>IF(B55="","",F54+(C55&lt;&gt;C54))</f>
        <v/>
      </c>
      <c r="G55">
        <f>IF(B55="","",F55&amp;"|"&amp;D55)</f>
        <v/>
      </c>
      <c r="AB55">
        <f>$AB$2+(49-1)*$AB$3</f>
        <v/>
      </c>
      <c r="AC55">
        <f>AB55+$AB$3/2</f>
        <v/>
      </c>
      <c r="AD55">
        <f>TEXT(AC55,IF($AB$3&lt;0.1,"0.00",IF($AB$3&lt;1,"0.0","0")))</f>
        <v/>
      </c>
      <c r="AE55">
        <f>IF($B$4=0,0,COUNTIFS('계산'!$E$12:$E$761,"&gt;="&amp;AB55,'계산'!$E$12:$E$761,"&lt;"&amp;AB55+$AB$3))</f>
        <v/>
      </c>
      <c r="AF55">
        <f>IF(AND(ISNUMBER($AO$20),ISNUMBER($AO$18)),$AO$18*$AB$3*NORMDIST(AC55,$AO$19,$AO$20,FALSE),NA())</f>
        <v/>
      </c>
      <c r="AG55">
        <f>IF(AND(ISNUMBER($AO$21),ISNUMBER($AO$18)),$AO$18*$AB$3*NORMDIST(AC55,$AO$19,$AO$21,FALSE),NA())</f>
        <v/>
      </c>
      <c r="AH55">
        <f>IF(ISNUMBER($AO$15),IF(AND($AO$15&gt;=AB55,$AO$15&lt;AB55+$AB$3),$AB$4,NA()),NA())</f>
        <v/>
      </c>
      <c r="AI55">
        <f>IF(ISNUMBER($AO$16),IF(AND($AO$16&gt;=AB55,$AO$16&lt;AB55+$AB$3),$AB$4,NA()),NA())</f>
        <v/>
      </c>
      <c r="AJ55">
        <f>IF(ISNUMBER($AO$17),IF(AND($AO$17&gt;=AB55,$AO$17&lt;AB55+$AB$3),$AB$4,NA()),NA())</f>
        <v/>
      </c>
    </row>
    <row r="56">
      <c r="A56" t="n">
        <v>45</v>
      </c>
      <c r="B56">
        <f>IF(A56&lt;=$B$4,$B$3+A56-1,"")</f>
        <v/>
      </c>
      <c r="C56">
        <f>IF(B56="","",INDEX(D_LOT,B56)&amp;"")</f>
        <v/>
      </c>
      <c r="D56">
        <f>IF(B56="","",INDEX(D_SEQ,B56))</f>
        <v/>
      </c>
      <c r="E56">
        <f>IF(B56="","",IFERROR(VALUE(INDEX(D_VAL,B56)&amp;""),""))</f>
        <v/>
      </c>
      <c r="F56">
        <f>IF(B56="","",F55+(C56&lt;&gt;C55))</f>
        <v/>
      </c>
      <c r="G56">
        <f>IF(B56="","",F56&amp;"|"&amp;D56)</f>
        <v/>
      </c>
      <c r="AB56">
        <f>$AB$2+(50-1)*$AB$3</f>
        <v/>
      </c>
      <c r="AC56">
        <f>AB56+$AB$3/2</f>
        <v/>
      </c>
      <c r="AD56">
        <f>TEXT(AC56,IF($AB$3&lt;0.1,"0.00",IF($AB$3&lt;1,"0.0","0")))</f>
        <v/>
      </c>
      <c r="AE56">
        <f>IF($B$4=0,0,COUNTIFS('계산'!$E$12:$E$761,"&gt;="&amp;AB56,'계산'!$E$12:$E$761,"&lt;"&amp;AB56+$AB$3))</f>
        <v/>
      </c>
      <c r="AF56">
        <f>IF(AND(ISNUMBER($AO$20),ISNUMBER($AO$18)),$AO$18*$AB$3*NORMDIST(AC56,$AO$19,$AO$20,FALSE),NA())</f>
        <v/>
      </c>
      <c r="AG56">
        <f>IF(AND(ISNUMBER($AO$21),ISNUMBER($AO$18)),$AO$18*$AB$3*NORMDIST(AC56,$AO$19,$AO$21,FALSE),NA())</f>
        <v/>
      </c>
      <c r="AH56">
        <f>IF(ISNUMBER($AO$15),IF(AND($AO$15&gt;=AB56,$AO$15&lt;AB56+$AB$3),$AB$4,NA()),NA())</f>
        <v/>
      </c>
      <c r="AI56">
        <f>IF(ISNUMBER($AO$16),IF(AND($AO$16&gt;=AB56,$AO$16&lt;AB56+$AB$3),$AB$4,NA()),NA())</f>
        <v/>
      </c>
      <c r="AJ56">
        <f>IF(ISNUMBER($AO$17),IF(AND($AO$17&gt;=AB56,$AO$17&lt;AB56+$AB$3),$AB$4,NA()),NA())</f>
        <v/>
      </c>
    </row>
    <row r="57">
      <c r="A57" t="n">
        <v>46</v>
      </c>
      <c r="B57">
        <f>IF(A57&lt;=$B$4,$B$3+A57-1,"")</f>
        <v/>
      </c>
      <c r="C57">
        <f>IF(B57="","",INDEX(D_LOT,B57)&amp;"")</f>
        <v/>
      </c>
      <c r="D57">
        <f>IF(B57="","",INDEX(D_SEQ,B57))</f>
        <v/>
      </c>
      <c r="E57">
        <f>IF(B57="","",IFERROR(VALUE(INDEX(D_VAL,B57)&amp;""),""))</f>
        <v/>
      </c>
      <c r="F57">
        <f>IF(B57="","",F56+(C57&lt;&gt;C56))</f>
        <v/>
      </c>
      <c r="G57">
        <f>IF(B57="","",F57&amp;"|"&amp;D57)</f>
        <v/>
      </c>
      <c r="AB57">
        <f>$AB$2+(51-1)*$AB$3</f>
        <v/>
      </c>
      <c r="AC57">
        <f>AB57+$AB$3/2</f>
        <v/>
      </c>
      <c r="AD57">
        <f>TEXT(AC57,IF($AB$3&lt;0.1,"0.00",IF($AB$3&lt;1,"0.0","0")))</f>
        <v/>
      </c>
      <c r="AE57">
        <f>IF($B$4=0,0,COUNTIFS('계산'!$E$12:$E$761,"&gt;="&amp;AB57,'계산'!$E$12:$E$761,"&lt;"&amp;AB57+$AB$3))</f>
        <v/>
      </c>
      <c r="AF57">
        <f>IF(AND(ISNUMBER($AO$20),ISNUMBER($AO$18)),$AO$18*$AB$3*NORMDIST(AC57,$AO$19,$AO$20,FALSE),NA())</f>
        <v/>
      </c>
      <c r="AG57">
        <f>IF(AND(ISNUMBER($AO$21),ISNUMBER($AO$18)),$AO$18*$AB$3*NORMDIST(AC57,$AO$19,$AO$21,FALSE),NA())</f>
        <v/>
      </c>
      <c r="AH57">
        <f>IF(ISNUMBER($AO$15),IF(AND($AO$15&gt;=AB57,$AO$15&lt;AB57+$AB$3),$AB$4,NA()),NA())</f>
        <v/>
      </c>
      <c r="AI57">
        <f>IF(ISNUMBER($AO$16),IF(AND($AO$16&gt;=AB57,$AO$16&lt;AB57+$AB$3),$AB$4,NA()),NA())</f>
        <v/>
      </c>
      <c r="AJ57">
        <f>IF(ISNUMBER($AO$17),IF(AND($AO$17&gt;=AB57,$AO$17&lt;AB57+$AB$3),$AB$4,NA()),NA())</f>
        <v/>
      </c>
    </row>
    <row r="58">
      <c r="A58" t="n">
        <v>47</v>
      </c>
      <c r="B58">
        <f>IF(A58&lt;=$B$4,$B$3+A58-1,"")</f>
        <v/>
      </c>
      <c r="C58">
        <f>IF(B58="","",INDEX(D_LOT,B58)&amp;"")</f>
        <v/>
      </c>
      <c r="D58">
        <f>IF(B58="","",INDEX(D_SEQ,B58))</f>
        <v/>
      </c>
      <c r="E58">
        <f>IF(B58="","",IFERROR(VALUE(INDEX(D_VAL,B58)&amp;""),""))</f>
        <v/>
      </c>
      <c r="F58">
        <f>IF(B58="","",F57+(C58&lt;&gt;C57))</f>
        <v/>
      </c>
      <c r="G58">
        <f>IF(B58="","",F58&amp;"|"&amp;D58)</f>
        <v/>
      </c>
      <c r="AB58">
        <f>$AB$2+(52-1)*$AB$3</f>
        <v/>
      </c>
      <c r="AC58">
        <f>AB58+$AB$3/2</f>
        <v/>
      </c>
      <c r="AD58">
        <f>TEXT(AC58,IF($AB$3&lt;0.1,"0.00",IF($AB$3&lt;1,"0.0","0")))</f>
        <v/>
      </c>
      <c r="AE58">
        <f>IF($B$4=0,0,COUNTIFS('계산'!$E$12:$E$761,"&gt;="&amp;AB58,'계산'!$E$12:$E$761,"&lt;"&amp;AB58+$AB$3))</f>
        <v/>
      </c>
      <c r="AF58">
        <f>IF(AND(ISNUMBER($AO$20),ISNUMBER($AO$18)),$AO$18*$AB$3*NORMDIST(AC58,$AO$19,$AO$20,FALSE),NA())</f>
        <v/>
      </c>
      <c r="AG58">
        <f>IF(AND(ISNUMBER($AO$21),ISNUMBER($AO$18)),$AO$18*$AB$3*NORMDIST(AC58,$AO$19,$AO$21,FALSE),NA())</f>
        <v/>
      </c>
      <c r="AH58">
        <f>IF(ISNUMBER($AO$15),IF(AND($AO$15&gt;=AB58,$AO$15&lt;AB58+$AB$3),$AB$4,NA()),NA())</f>
        <v/>
      </c>
      <c r="AI58">
        <f>IF(ISNUMBER($AO$16),IF(AND($AO$16&gt;=AB58,$AO$16&lt;AB58+$AB$3),$AB$4,NA()),NA())</f>
        <v/>
      </c>
      <c r="AJ58">
        <f>IF(ISNUMBER($AO$17),IF(AND($AO$17&gt;=AB58,$AO$17&lt;AB58+$AB$3),$AB$4,NA()),NA())</f>
        <v/>
      </c>
    </row>
    <row r="59">
      <c r="A59" t="n">
        <v>48</v>
      </c>
      <c r="B59">
        <f>IF(A59&lt;=$B$4,$B$3+A59-1,"")</f>
        <v/>
      </c>
      <c r="C59">
        <f>IF(B59="","",INDEX(D_LOT,B59)&amp;"")</f>
        <v/>
      </c>
      <c r="D59">
        <f>IF(B59="","",INDEX(D_SEQ,B59))</f>
        <v/>
      </c>
      <c r="E59">
        <f>IF(B59="","",IFERROR(VALUE(INDEX(D_VAL,B59)&amp;""),""))</f>
        <v/>
      </c>
      <c r="F59">
        <f>IF(B59="","",F58+(C59&lt;&gt;C58))</f>
        <v/>
      </c>
      <c r="G59">
        <f>IF(B59="","",F59&amp;"|"&amp;D59)</f>
        <v/>
      </c>
      <c r="AB59">
        <f>$AB$2+(53-1)*$AB$3</f>
        <v/>
      </c>
      <c r="AC59">
        <f>AB59+$AB$3/2</f>
        <v/>
      </c>
      <c r="AD59">
        <f>TEXT(AC59,IF($AB$3&lt;0.1,"0.00",IF($AB$3&lt;1,"0.0","0")))</f>
        <v/>
      </c>
      <c r="AE59">
        <f>IF($B$4=0,0,COUNTIFS('계산'!$E$12:$E$761,"&gt;="&amp;AB59,'계산'!$E$12:$E$761,"&lt;"&amp;AB59+$AB$3))</f>
        <v/>
      </c>
      <c r="AF59">
        <f>IF(AND(ISNUMBER($AO$20),ISNUMBER($AO$18)),$AO$18*$AB$3*NORMDIST(AC59,$AO$19,$AO$20,FALSE),NA())</f>
        <v/>
      </c>
      <c r="AG59">
        <f>IF(AND(ISNUMBER($AO$21),ISNUMBER($AO$18)),$AO$18*$AB$3*NORMDIST(AC59,$AO$19,$AO$21,FALSE),NA())</f>
        <v/>
      </c>
      <c r="AH59">
        <f>IF(ISNUMBER($AO$15),IF(AND($AO$15&gt;=AB59,$AO$15&lt;AB59+$AB$3),$AB$4,NA()),NA())</f>
        <v/>
      </c>
      <c r="AI59">
        <f>IF(ISNUMBER($AO$16),IF(AND($AO$16&gt;=AB59,$AO$16&lt;AB59+$AB$3),$AB$4,NA()),NA())</f>
        <v/>
      </c>
      <c r="AJ59">
        <f>IF(ISNUMBER($AO$17),IF(AND($AO$17&gt;=AB59,$AO$17&lt;AB59+$AB$3),$AB$4,NA()),NA())</f>
        <v/>
      </c>
    </row>
    <row r="60">
      <c r="A60" t="n">
        <v>49</v>
      </c>
      <c r="B60">
        <f>IF(A60&lt;=$B$4,$B$3+A60-1,"")</f>
        <v/>
      </c>
      <c r="C60">
        <f>IF(B60="","",INDEX(D_LOT,B60)&amp;"")</f>
        <v/>
      </c>
      <c r="D60">
        <f>IF(B60="","",INDEX(D_SEQ,B60))</f>
        <v/>
      </c>
      <c r="E60">
        <f>IF(B60="","",IFERROR(VALUE(INDEX(D_VAL,B60)&amp;""),""))</f>
        <v/>
      </c>
      <c r="F60">
        <f>IF(B60="","",F59+(C60&lt;&gt;C59))</f>
        <v/>
      </c>
      <c r="G60">
        <f>IF(B60="","",F60&amp;"|"&amp;D60)</f>
        <v/>
      </c>
      <c r="AB60">
        <f>$AB$2+(54-1)*$AB$3</f>
        <v/>
      </c>
      <c r="AC60">
        <f>AB60+$AB$3/2</f>
        <v/>
      </c>
      <c r="AD60">
        <f>TEXT(AC60,IF($AB$3&lt;0.1,"0.00",IF($AB$3&lt;1,"0.0","0")))</f>
        <v/>
      </c>
      <c r="AE60">
        <f>IF($B$4=0,0,COUNTIFS('계산'!$E$12:$E$761,"&gt;="&amp;AB60,'계산'!$E$12:$E$761,"&lt;"&amp;AB60+$AB$3))</f>
        <v/>
      </c>
      <c r="AF60">
        <f>IF(AND(ISNUMBER($AO$20),ISNUMBER($AO$18)),$AO$18*$AB$3*NORMDIST(AC60,$AO$19,$AO$20,FALSE),NA())</f>
        <v/>
      </c>
      <c r="AG60">
        <f>IF(AND(ISNUMBER($AO$21),ISNUMBER($AO$18)),$AO$18*$AB$3*NORMDIST(AC60,$AO$19,$AO$21,FALSE),NA())</f>
        <v/>
      </c>
      <c r="AH60">
        <f>IF(ISNUMBER($AO$15),IF(AND($AO$15&gt;=AB60,$AO$15&lt;AB60+$AB$3),$AB$4,NA()),NA())</f>
        <v/>
      </c>
      <c r="AI60">
        <f>IF(ISNUMBER($AO$16),IF(AND($AO$16&gt;=AB60,$AO$16&lt;AB60+$AB$3),$AB$4,NA()),NA())</f>
        <v/>
      </c>
      <c r="AJ60">
        <f>IF(ISNUMBER($AO$17),IF(AND($AO$17&gt;=AB60,$AO$17&lt;AB60+$AB$3),$AB$4,NA()),NA())</f>
        <v/>
      </c>
    </row>
    <row r="61">
      <c r="A61" t="n">
        <v>50</v>
      </c>
      <c r="B61">
        <f>IF(A61&lt;=$B$4,$B$3+A61-1,"")</f>
        <v/>
      </c>
      <c r="C61">
        <f>IF(B61="","",INDEX(D_LOT,B61)&amp;"")</f>
        <v/>
      </c>
      <c r="D61">
        <f>IF(B61="","",INDEX(D_SEQ,B61))</f>
        <v/>
      </c>
      <c r="E61">
        <f>IF(B61="","",IFERROR(VALUE(INDEX(D_VAL,B61)&amp;""),""))</f>
        <v/>
      </c>
      <c r="F61">
        <f>IF(B61="","",F60+(C61&lt;&gt;C60))</f>
        <v/>
      </c>
      <c r="G61">
        <f>IF(B61="","",F61&amp;"|"&amp;D61)</f>
        <v/>
      </c>
      <c r="AB61">
        <f>$AB$2+(55-1)*$AB$3</f>
        <v/>
      </c>
      <c r="AC61">
        <f>AB61+$AB$3/2</f>
        <v/>
      </c>
      <c r="AD61">
        <f>TEXT(AC61,IF($AB$3&lt;0.1,"0.00",IF($AB$3&lt;1,"0.0","0")))</f>
        <v/>
      </c>
      <c r="AE61">
        <f>IF($B$4=0,0,COUNTIFS('계산'!$E$12:$E$761,"&gt;="&amp;AB61,'계산'!$E$12:$E$761,"&lt;"&amp;AB61+$AB$3))</f>
        <v/>
      </c>
      <c r="AF61">
        <f>IF(AND(ISNUMBER($AO$20),ISNUMBER($AO$18)),$AO$18*$AB$3*NORMDIST(AC61,$AO$19,$AO$20,FALSE),NA())</f>
        <v/>
      </c>
      <c r="AG61">
        <f>IF(AND(ISNUMBER($AO$21),ISNUMBER($AO$18)),$AO$18*$AB$3*NORMDIST(AC61,$AO$19,$AO$21,FALSE),NA())</f>
        <v/>
      </c>
      <c r="AH61">
        <f>IF(ISNUMBER($AO$15),IF(AND($AO$15&gt;=AB61,$AO$15&lt;AB61+$AB$3),$AB$4,NA()),NA())</f>
        <v/>
      </c>
      <c r="AI61">
        <f>IF(ISNUMBER($AO$16),IF(AND($AO$16&gt;=AB61,$AO$16&lt;AB61+$AB$3),$AB$4,NA()),NA())</f>
        <v/>
      </c>
      <c r="AJ61">
        <f>IF(ISNUMBER($AO$17),IF(AND($AO$17&gt;=AB61,$AO$17&lt;AB61+$AB$3),$AB$4,NA()),NA())</f>
        <v/>
      </c>
    </row>
    <row r="62">
      <c r="A62" t="n">
        <v>51</v>
      </c>
      <c r="B62">
        <f>IF(A62&lt;=$B$4,$B$3+A62-1,"")</f>
        <v/>
      </c>
      <c r="C62">
        <f>IF(B62="","",INDEX(D_LOT,B62)&amp;"")</f>
        <v/>
      </c>
      <c r="D62">
        <f>IF(B62="","",INDEX(D_SEQ,B62))</f>
        <v/>
      </c>
      <c r="E62">
        <f>IF(B62="","",IFERROR(VALUE(INDEX(D_VAL,B62)&amp;""),""))</f>
        <v/>
      </c>
      <c r="F62">
        <f>IF(B62="","",F61+(C62&lt;&gt;C61))</f>
        <v/>
      </c>
      <c r="G62">
        <f>IF(B62="","",F62&amp;"|"&amp;D62)</f>
        <v/>
      </c>
      <c r="AB62">
        <f>$AB$2+(56-1)*$AB$3</f>
        <v/>
      </c>
      <c r="AC62">
        <f>AB62+$AB$3/2</f>
        <v/>
      </c>
      <c r="AD62">
        <f>TEXT(AC62,IF($AB$3&lt;0.1,"0.00",IF($AB$3&lt;1,"0.0","0")))</f>
        <v/>
      </c>
      <c r="AE62">
        <f>IF($B$4=0,0,COUNTIFS('계산'!$E$12:$E$761,"&gt;="&amp;AB62,'계산'!$E$12:$E$761,"&lt;"&amp;AB62+$AB$3))</f>
        <v/>
      </c>
      <c r="AF62">
        <f>IF(AND(ISNUMBER($AO$20),ISNUMBER($AO$18)),$AO$18*$AB$3*NORMDIST(AC62,$AO$19,$AO$20,FALSE),NA())</f>
        <v/>
      </c>
      <c r="AG62">
        <f>IF(AND(ISNUMBER($AO$21),ISNUMBER($AO$18)),$AO$18*$AB$3*NORMDIST(AC62,$AO$19,$AO$21,FALSE),NA())</f>
        <v/>
      </c>
      <c r="AH62">
        <f>IF(ISNUMBER($AO$15),IF(AND($AO$15&gt;=AB62,$AO$15&lt;AB62+$AB$3),$AB$4,NA()),NA())</f>
        <v/>
      </c>
      <c r="AI62">
        <f>IF(ISNUMBER($AO$16),IF(AND($AO$16&gt;=AB62,$AO$16&lt;AB62+$AB$3),$AB$4,NA()),NA())</f>
        <v/>
      </c>
      <c r="AJ62">
        <f>IF(ISNUMBER($AO$17),IF(AND($AO$17&gt;=AB62,$AO$17&lt;AB62+$AB$3),$AB$4,NA()),NA())</f>
        <v/>
      </c>
    </row>
    <row r="63">
      <c r="A63" t="n">
        <v>52</v>
      </c>
      <c r="B63">
        <f>IF(A63&lt;=$B$4,$B$3+A63-1,"")</f>
        <v/>
      </c>
      <c r="C63">
        <f>IF(B63="","",INDEX(D_LOT,B63)&amp;"")</f>
        <v/>
      </c>
      <c r="D63">
        <f>IF(B63="","",INDEX(D_SEQ,B63))</f>
        <v/>
      </c>
      <c r="E63">
        <f>IF(B63="","",IFERROR(VALUE(INDEX(D_VAL,B63)&amp;""),""))</f>
        <v/>
      </c>
      <c r="F63">
        <f>IF(B63="","",F62+(C63&lt;&gt;C62))</f>
        <v/>
      </c>
      <c r="G63">
        <f>IF(B63="","",F63&amp;"|"&amp;D63)</f>
        <v/>
      </c>
      <c r="AB63">
        <f>$AB$2+(57-1)*$AB$3</f>
        <v/>
      </c>
      <c r="AC63">
        <f>AB63+$AB$3/2</f>
        <v/>
      </c>
      <c r="AD63">
        <f>TEXT(AC63,IF($AB$3&lt;0.1,"0.00",IF($AB$3&lt;1,"0.0","0")))</f>
        <v/>
      </c>
      <c r="AE63">
        <f>IF($B$4=0,0,COUNTIFS('계산'!$E$12:$E$761,"&gt;="&amp;AB63,'계산'!$E$12:$E$761,"&lt;"&amp;AB63+$AB$3))</f>
        <v/>
      </c>
      <c r="AF63">
        <f>IF(AND(ISNUMBER($AO$20),ISNUMBER($AO$18)),$AO$18*$AB$3*NORMDIST(AC63,$AO$19,$AO$20,FALSE),NA())</f>
        <v/>
      </c>
      <c r="AG63">
        <f>IF(AND(ISNUMBER($AO$21),ISNUMBER($AO$18)),$AO$18*$AB$3*NORMDIST(AC63,$AO$19,$AO$21,FALSE),NA())</f>
        <v/>
      </c>
      <c r="AH63">
        <f>IF(ISNUMBER($AO$15),IF(AND($AO$15&gt;=AB63,$AO$15&lt;AB63+$AB$3),$AB$4,NA()),NA())</f>
        <v/>
      </c>
      <c r="AI63">
        <f>IF(ISNUMBER($AO$16),IF(AND($AO$16&gt;=AB63,$AO$16&lt;AB63+$AB$3),$AB$4,NA()),NA())</f>
        <v/>
      </c>
      <c r="AJ63">
        <f>IF(ISNUMBER($AO$17),IF(AND($AO$17&gt;=AB63,$AO$17&lt;AB63+$AB$3),$AB$4,NA()),NA())</f>
        <v/>
      </c>
    </row>
    <row r="64">
      <c r="A64" t="n">
        <v>53</v>
      </c>
      <c r="B64">
        <f>IF(A64&lt;=$B$4,$B$3+A64-1,"")</f>
        <v/>
      </c>
      <c r="C64">
        <f>IF(B64="","",INDEX(D_LOT,B64)&amp;"")</f>
        <v/>
      </c>
      <c r="D64">
        <f>IF(B64="","",INDEX(D_SEQ,B64))</f>
        <v/>
      </c>
      <c r="E64">
        <f>IF(B64="","",IFERROR(VALUE(INDEX(D_VAL,B64)&amp;""),""))</f>
        <v/>
      </c>
      <c r="F64">
        <f>IF(B64="","",F63+(C64&lt;&gt;C63))</f>
        <v/>
      </c>
      <c r="G64">
        <f>IF(B64="","",F64&amp;"|"&amp;D64)</f>
        <v/>
      </c>
      <c r="AB64">
        <f>$AB$2+(58-1)*$AB$3</f>
        <v/>
      </c>
      <c r="AC64">
        <f>AB64+$AB$3/2</f>
        <v/>
      </c>
      <c r="AD64">
        <f>TEXT(AC64,IF($AB$3&lt;0.1,"0.00",IF($AB$3&lt;1,"0.0","0")))</f>
        <v/>
      </c>
      <c r="AE64">
        <f>IF($B$4=0,0,COUNTIFS('계산'!$E$12:$E$761,"&gt;="&amp;AB64,'계산'!$E$12:$E$761,"&lt;"&amp;AB64+$AB$3))</f>
        <v/>
      </c>
      <c r="AF64">
        <f>IF(AND(ISNUMBER($AO$20),ISNUMBER($AO$18)),$AO$18*$AB$3*NORMDIST(AC64,$AO$19,$AO$20,FALSE),NA())</f>
        <v/>
      </c>
      <c r="AG64">
        <f>IF(AND(ISNUMBER($AO$21),ISNUMBER($AO$18)),$AO$18*$AB$3*NORMDIST(AC64,$AO$19,$AO$21,FALSE),NA())</f>
        <v/>
      </c>
      <c r="AH64">
        <f>IF(ISNUMBER($AO$15),IF(AND($AO$15&gt;=AB64,$AO$15&lt;AB64+$AB$3),$AB$4,NA()),NA())</f>
        <v/>
      </c>
      <c r="AI64">
        <f>IF(ISNUMBER($AO$16),IF(AND($AO$16&gt;=AB64,$AO$16&lt;AB64+$AB$3),$AB$4,NA()),NA())</f>
        <v/>
      </c>
      <c r="AJ64">
        <f>IF(ISNUMBER($AO$17),IF(AND($AO$17&gt;=AB64,$AO$17&lt;AB64+$AB$3),$AB$4,NA()),NA())</f>
        <v/>
      </c>
    </row>
    <row r="65">
      <c r="A65" t="n">
        <v>54</v>
      </c>
      <c r="B65">
        <f>IF(A65&lt;=$B$4,$B$3+A65-1,"")</f>
        <v/>
      </c>
      <c r="C65">
        <f>IF(B65="","",INDEX(D_LOT,B65)&amp;"")</f>
        <v/>
      </c>
      <c r="D65">
        <f>IF(B65="","",INDEX(D_SEQ,B65))</f>
        <v/>
      </c>
      <c r="E65">
        <f>IF(B65="","",IFERROR(VALUE(INDEX(D_VAL,B65)&amp;""),""))</f>
        <v/>
      </c>
      <c r="F65">
        <f>IF(B65="","",F64+(C65&lt;&gt;C64))</f>
        <v/>
      </c>
      <c r="G65">
        <f>IF(B65="","",F65&amp;"|"&amp;D65)</f>
        <v/>
      </c>
      <c r="AB65">
        <f>$AB$2+(59-1)*$AB$3</f>
        <v/>
      </c>
      <c r="AC65">
        <f>AB65+$AB$3/2</f>
        <v/>
      </c>
      <c r="AD65">
        <f>TEXT(AC65,IF($AB$3&lt;0.1,"0.00",IF($AB$3&lt;1,"0.0","0")))</f>
        <v/>
      </c>
      <c r="AE65">
        <f>IF($B$4=0,0,COUNTIFS('계산'!$E$12:$E$761,"&gt;="&amp;AB65,'계산'!$E$12:$E$761,"&lt;"&amp;AB65+$AB$3))</f>
        <v/>
      </c>
      <c r="AF65">
        <f>IF(AND(ISNUMBER($AO$20),ISNUMBER($AO$18)),$AO$18*$AB$3*NORMDIST(AC65,$AO$19,$AO$20,FALSE),NA())</f>
        <v/>
      </c>
      <c r="AG65">
        <f>IF(AND(ISNUMBER($AO$21),ISNUMBER($AO$18)),$AO$18*$AB$3*NORMDIST(AC65,$AO$19,$AO$21,FALSE),NA())</f>
        <v/>
      </c>
      <c r="AH65">
        <f>IF(ISNUMBER($AO$15),IF(AND($AO$15&gt;=AB65,$AO$15&lt;AB65+$AB$3),$AB$4,NA()),NA())</f>
        <v/>
      </c>
      <c r="AI65">
        <f>IF(ISNUMBER($AO$16),IF(AND($AO$16&gt;=AB65,$AO$16&lt;AB65+$AB$3),$AB$4,NA()),NA())</f>
        <v/>
      </c>
      <c r="AJ65">
        <f>IF(ISNUMBER($AO$17),IF(AND($AO$17&gt;=AB65,$AO$17&lt;AB65+$AB$3),$AB$4,NA()),NA())</f>
        <v/>
      </c>
    </row>
    <row r="66">
      <c r="A66" t="n">
        <v>55</v>
      </c>
      <c r="B66">
        <f>IF(A66&lt;=$B$4,$B$3+A66-1,"")</f>
        <v/>
      </c>
      <c r="C66">
        <f>IF(B66="","",INDEX(D_LOT,B66)&amp;"")</f>
        <v/>
      </c>
      <c r="D66">
        <f>IF(B66="","",INDEX(D_SEQ,B66))</f>
        <v/>
      </c>
      <c r="E66">
        <f>IF(B66="","",IFERROR(VALUE(INDEX(D_VAL,B66)&amp;""),""))</f>
        <v/>
      </c>
      <c r="F66">
        <f>IF(B66="","",F65+(C66&lt;&gt;C65))</f>
        <v/>
      </c>
      <c r="G66">
        <f>IF(B66="","",F66&amp;"|"&amp;D66)</f>
        <v/>
      </c>
      <c r="AB66">
        <f>$AB$2+(60-1)*$AB$3</f>
        <v/>
      </c>
      <c r="AC66">
        <f>AB66+$AB$3/2</f>
        <v/>
      </c>
      <c r="AD66">
        <f>TEXT(AC66,IF($AB$3&lt;0.1,"0.00",IF($AB$3&lt;1,"0.0","0")))</f>
        <v/>
      </c>
      <c r="AE66">
        <f>IF($B$4=0,0,COUNTIFS('계산'!$E$12:$E$761,"&gt;="&amp;AB66,'계산'!$E$12:$E$761,"&lt;"&amp;AB66+$AB$3))</f>
        <v/>
      </c>
      <c r="AF66">
        <f>IF(AND(ISNUMBER($AO$20),ISNUMBER($AO$18)),$AO$18*$AB$3*NORMDIST(AC66,$AO$19,$AO$20,FALSE),NA())</f>
        <v/>
      </c>
      <c r="AG66">
        <f>IF(AND(ISNUMBER($AO$21),ISNUMBER($AO$18)),$AO$18*$AB$3*NORMDIST(AC66,$AO$19,$AO$21,FALSE),NA())</f>
        <v/>
      </c>
      <c r="AH66">
        <f>IF(ISNUMBER($AO$15),IF(AND($AO$15&gt;=AB66,$AO$15&lt;AB66+$AB$3),$AB$4,NA()),NA())</f>
        <v/>
      </c>
      <c r="AI66">
        <f>IF(ISNUMBER($AO$16),IF(AND($AO$16&gt;=AB66,$AO$16&lt;AB66+$AB$3),$AB$4,NA()),NA())</f>
        <v/>
      </c>
      <c r="AJ66">
        <f>IF(ISNUMBER($AO$17),IF(AND($AO$17&gt;=AB66,$AO$17&lt;AB66+$AB$3),$AB$4,NA()),NA())</f>
        <v/>
      </c>
    </row>
    <row r="67">
      <c r="A67" t="n">
        <v>56</v>
      </c>
      <c r="B67">
        <f>IF(A67&lt;=$B$4,$B$3+A67-1,"")</f>
        <v/>
      </c>
      <c r="C67">
        <f>IF(B67="","",INDEX(D_LOT,B67)&amp;"")</f>
        <v/>
      </c>
      <c r="D67">
        <f>IF(B67="","",INDEX(D_SEQ,B67))</f>
        <v/>
      </c>
      <c r="E67">
        <f>IF(B67="","",IFERROR(VALUE(INDEX(D_VAL,B67)&amp;""),""))</f>
        <v/>
      </c>
      <c r="F67">
        <f>IF(B67="","",F66+(C67&lt;&gt;C66))</f>
        <v/>
      </c>
      <c r="G67">
        <f>IF(B67="","",F67&amp;"|"&amp;D67)</f>
        <v/>
      </c>
      <c r="AB67">
        <f>$AB$2+(61-1)*$AB$3</f>
        <v/>
      </c>
      <c r="AC67">
        <f>AB67+$AB$3/2</f>
        <v/>
      </c>
      <c r="AD67">
        <f>TEXT(AC67,IF($AB$3&lt;0.1,"0.00",IF($AB$3&lt;1,"0.0","0")))</f>
        <v/>
      </c>
      <c r="AE67">
        <f>IF($B$4=0,0,COUNTIFS('계산'!$E$12:$E$761,"&gt;="&amp;AB67,'계산'!$E$12:$E$761,"&lt;"&amp;AB67+$AB$3))</f>
        <v/>
      </c>
      <c r="AF67">
        <f>IF(AND(ISNUMBER($AO$20),ISNUMBER($AO$18)),$AO$18*$AB$3*NORMDIST(AC67,$AO$19,$AO$20,FALSE),NA())</f>
        <v/>
      </c>
      <c r="AG67">
        <f>IF(AND(ISNUMBER($AO$21),ISNUMBER($AO$18)),$AO$18*$AB$3*NORMDIST(AC67,$AO$19,$AO$21,FALSE),NA())</f>
        <v/>
      </c>
      <c r="AH67">
        <f>IF(ISNUMBER($AO$15),IF(AND($AO$15&gt;=AB67,$AO$15&lt;AB67+$AB$3),$AB$4,NA()),NA())</f>
        <v/>
      </c>
      <c r="AI67">
        <f>IF(ISNUMBER($AO$16),IF(AND($AO$16&gt;=AB67,$AO$16&lt;AB67+$AB$3),$AB$4,NA()),NA())</f>
        <v/>
      </c>
      <c r="AJ67">
        <f>IF(ISNUMBER($AO$17),IF(AND($AO$17&gt;=AB67,$AO$17&lt;AB67+$AB$3),$AB$4,NA()),NA())</f>
        <v/>
      </c>
    </row>
    <row r="68">
      <c r="A68" t="n">
        <v>57</v>
      </c>
      <c r="B68">
        <f>IF(A68&lt;=$B$4,$B$3+A68-1,"")</f>
        <v/>
      </c>
      <c r="C68">
        <f>IF(B68="","",INDEX(D_LOT,B68)&amp;"")</f>
        <v/>
      </c>
      <c r="D68">
        <f>IF(B68="","",INDEX(D_SEQ,B68))</f>
        <v/>
      </c>
      <c r="E68">
        <f>IF(B68="","",IFERROR(VALUE(INDEX(D_VAL,B68)&amp;""),""))</f>
        <v/>
      </c>
      <c r="F68">
        <f>IF(B68="","",F67+(C68&lt;&gt;C67))</f>
        <v/>
      </c>
      <c r="G68">
        <f>IF(B68="","",F68&amp;"|"&amp;D68)</f>
        <v/>
      </c>
      <c r="AB68">
        <f>$AB$2+(62-1)*$AB$3</f>
        <v/>
      </c>
      <c r="AC68">
        <f>AB68+$AB$3/2</f>
        <v/>
      </c>
      <c r="AD68">
        <f>TEXT(AC68,IF($AB$3&lt;0.1,"0.00",IF($AB$3&lt;1,"0.0","0")))</f>
        <v/>
      </c>
      <c r="AE68">
        <f>IF($B$4=0,0,COUNTIFS('계산'!$E$12:$E$761,"&gt;="&amp;AB68,'계산'!$E$12:$E$761,"&lt;"&amp;AB68+$AB$3))</f>
        <v/>
      </c>
      <c r="AF68">
        <f>IF(AND(ISNUMBER($AO$20),ISNUMBER($AO$18)),$AO$18*$AB$3*NORMDIST(AC68,$AO$19,$AO$20,FALSE),NA())</f>
        <v/>
      </c>
      <c r="AG68">
        <f>IF(AND(ISNUMBER($AO$21),ISNUMBER($AO$18)),$AO$18*$AB$3*NORMDIST(AC68,$AO$19,$AO$21,FALSE),NA())</f>
        <v/>
      </c>
      <c r="AH68">
        <f>IF(ISNUMBER($AO$15),IF(AND($AO$15&gt;=AB68,$AO$15&lt;AB68+$AB$3),$AB$4,NA()),NA())</f>
        <v/>
      </c>
      <c r="AI68">
        <f>IF(ISNUMBER($AO$16),IF(AND($AO$16&gt;=AB68,$AO$16&lt;AB68+$AB$3),$AB$4,NA()),NA())</f>
        <v/>
      </c>
      <c r="AJ68">
        <f>IF(ISNUMBER($AO$17),IF(AND($AO$17&gt;=AB68,$AO$17&lt;AB68+$AB$3),$AB$4,NA()),NA())</f>
        <v/>
      </c>
    </row>
    <row r="69">
      <c r="A69" t="n">
        <v>58</v>
      </c>
      <c r="B69">
        <f>IF(A69&lt;=$B$4,$B$3+A69-1,"")</f>
        <v/>
      </c>
      <c r="C69">
        <f>IF(B69="","",INDEX(D_LOT,B69)&amp;"")</f>
        <v/>
      </c>
      <c r="D69">
        <f>IF(B69="","",INDEX(D_SEQ,B69))</f>
        <v/>
      </c>
      <c r="E69">
        <f>IF(B69="","",IFERROR(VALUE(INDEX(D_VAL,B69)&amp;""),""))</f>
        <v/>
      </c>
      <c r="F69">
        <f>IF(B69="","",F68+(C69&lt;&gt;C68))</f>
        <v/>
      </c>
      <c r="G69">
        <f>IF(B69="","",F69&amp;"|"&amp;D69)</f>
        <v/>
      </c>
      <c r="AB69">
        <f>$AB$2+(63-1)*$AB$3</f>
        <v/>
      </c>
      <c r="AC69">
        <f>AB69+$AB$3/2</f>
        <v/>
      </c>
      <c r="AD69">
        <f>TEXT(AC69,IF($AB$3&lt;0.1,"0.00",IF($AB$3&lt;1,"0.0","0")))</f>
        <v/>
      </c>
      <c r="AE69">
        <f>IF($B$4=0,0,COUNTIFS('계산'!$E$12:$E$761,"&gt;="&amp;AB69,'계산'!$E$12:$E$761,"&lt;"&amp;AB69+$AB$3))</f>
        <v/>
      </c>
      <c r="AF69">
        <f>IF(AND(ISNUMBER($AO$20),ISNUMBER($AO$18)),$AO$18*$AB$3*NORMDIST(AC69,$AO$19,$AO$20,FALSE),NA())</f>
        <v/>
      </c>
      <c r="AG69">
        <f>IF(AND(ISNUMBER($AO$21),ISNUMBER($AO$18)),$AO$18*$AB$3*NORMDIST(AC69,$AO$19,$AO$21,FALSE),NA())</f>
        <v/>
      </c>
      <c r="AH69">
        <f>IF(ISNUMBER($AO$15),IF(AND($AO$15&gt;=AB69,$AO$15&lt;AB69+$AB$3),$AB$4,NA()),NA())</f>
        <v/>
      </c>
      <c r="AI69">
        <f>IF(ISNUMBER($AO$16),IF(AND($AO$16&gt;=AB69,$AO$16&lt;AB69+$AB$3),$AB$4,NA()),NA())</f>
        <v/>
      </c>
      <c r="AJ69">
        <f>IF(ISNUMBER($AO$17),IF(AND($AO$17&gt;=AB69,$AO$17&lt;AB69+$AB$3),$AB$4,NA()),NA())</f>
        <v/>
      </c>
    </row>
    <row r="70">
      <c r="A70" t="n">
        <v>59</v>
      </c>
      <c r="B70">
        <f>IF(A70&lt;=$B$4,$B$3+A70-1,"")</f>
        <v/>
      </c>
      <c r="C70">
        <f>IF(B70="","",INDEX(D_LOT,B70)&amp;"")</f>
        <v/>
      </c>
      <c r="D70">
        <f>IF(B70="","",INDEX(D_SEQ,B70))</f>
        <v/>
      </c>
      <c r="E70">
        <f>IF(B70="","",IFERROR(VALUE(INDEX(D_VAL,B70)&amp;""),""))</f>
        <v/>
      </c>
      <c r="F70">
        <f>IF(B70="","",F69+(C70&lt;&gt;C69))</f>
        <v/>
      </c>
      <c r="G70">
        <f>IF(B70="","",F70&amp;"|"&amp;D70)</f>
        <v/>
      </c>
      <c r="AB70">
        <f>$AB$2+(64-1)*$AB$3</f>
        <v/>
      </c>
      <c r="AC70">
        <f>AB70+$AB$3/2</f>
        <v/>
      </c>
      <c r="AD70">
        <f>TEXT(AC70,IF($AB$3&lt;0.1,"0.00",IF($AB$3&lt;1,"0.0","0")))</f>
        <v/>
      </c>
      <c r="AE70">
        <f>IF($B$4=0,0,COUNTIFS('계산'!$E$12:$E$761,"&gt;="&amp;AB70,'계산'!$E$12:$E$761,"&lt;"&amp;AB70+$AB$3))</f>
        <v/>
      </c>
      <c r="AF70">
        <f>IF(AND(ISNUMBER($AO$20),ISNUMBER($AO$18)),$AO$18*$AB$3*NORMDIST(AC70,$AO$19,$AO$20,FALSE),NA())</f>
        <v/>
      </c>
      <c r="AG70">
        <f>IF(AND(ISNUMBER($AO$21),ISNUMBER($AO$18)),$AO$18*$AB$3*NORMDIST(AC70,$AO$19,$AO$21,FALSE),NA())</f>
        <v/>
      </c>
      <c r="AH70">
        <f>IF(ISNUMBER($AO$15),IF(AND($AO$15&gt;=AB70,$AO$15&lt;AB70+$AB$3),$AB$4,NA()),NA())</f>
        <v/>
      </c>
      <c r="AI70">
        <f>IF(ISNUMBER($AO$16),IF(AND($AO$16&gt;=AB70,$AO$16&lt;AB70+$AB$3),$AB$4,NA()),NA())</f>
        <v/>
      </c>
      <c r="AJ70">
        <f>IF(ISNUMBER($AO$17),IF(AND($AO$17&gt;=AB70,$AO$17&lt;AB70+$AB$3),$AB$4,NA()),NA())</f>
        <v/>
      </c>
    </row>
    <row r="71">
      <c r="A71" t="n">
        <v>60</v>
      </c>
      <c r="B71">
        <f>IF(A71&lt;=$B$4,$B$3+A71-1,"")</f>
        <v/>
      </c>
      <c r="C71">
        <f>IF(B71="","",INDEX(D_LOT,B71)&amp;"")</f>
        <v/>
      </c>
      <c r="D71">
        <f>IF(B71="","",INDEX(D_SEQ,B71))</f>
        <v/>
      </c>
      <c r="E71">
        <f>IF(B71="","",IFERROR(VALUE(INDEX(D_VAL,B71)&amp;""),""))</f>
        <v/>
      </c>
      <c r="F71">
        <f>IF(B71="","",F70+(C71&lt;&gt;C70))</f>
        <v/>
      </c>
      <c r="G71">
        <f>IF(B71="","",F71&amp;"|"&amp;D71)</f>
        <v/>
      </c>
      <c r="AB71">
        <f>$AB$2+(65-1)*$AB$3</f>
        <v/>
      </c>
      <c r="AC71">
        <f>AB71+$AB$3/2</f>
        <v/>
      </c>
      <c r="AD71">
        <f>TEXT(AC71,IF($AB$3&lt;0.1,"0.00",IF($AB$3&lt;1,"0.0","0")))</f>
        <v/>
      </c>
      <c r="AE71">
        <f>IF($B$4=0,0,COUNTIFS('계산'!$E$12:$E$761,"&gt;="&amp;AB71,'계산'!$E$12:$E$761,"&lt;"&amp;AB71+$AB$3))</f>
        <v/>
      </c>
      <c r="AF71">
        <f>IF(AND(ISNUMBER($AO$20),ISNUMBER($AO$18)),$AO$18*$AB$3*NORMDIST(AC71,$AO$19,$AO$20,FALSE),NA())</f>
        <v/>
      </c>
      <c r="AG71">
        <f>IF(AND(ISNUMBER($AO$21),ISNUMBER($AO$18)),$AO$18*$AB$3*NORMDIST(AC71,$AO$19,$AO$21,FALSE),NA())</f>
        <v/>
      </c>
      <c r="AH71">
        <f>IF(ISNUMBER($AO$15),IF(AND($AO$15&gt;=AB71,$AO$15&lt;AB71+$AB$3),$AB$4,NA()),NA())</f>
        <v/>
      </c>
      <c r="AI71">
        <f>IF(ISNUMBER($AO$16),IF(AND($AO$16&gt;=AB71,$AO$16&lt;AB71+$AB$3),$AB$4,NA()),NA())</f>
        <v/>
      </c>
      <c r="AJ71">
        <f>IF(ISNUMBER($AO$17),IF(AND($AO$17&gt;=AB71,$AO$17&lt;AB71+$AB$3),$AB$4,NA()),NA())</f>
        <v/>
      </c>
    </row>
    <row r="72">
      <c r="A72" t="n">
        <v>61</v>
      </c>
      <c r="B72">
        <f>IF(A72&lt;=$B$4,$B$3+A72-1,"")</f>
        <v/>
      </c>
      <c r="C72">
        <f>IF(B72="","",INDEX(D_LOT,B72)&amp;"")</f>
        <v/>
      </c>
      <c r="D72">
        <f>IF(B72="","",INDEX(D_SEQ,B72))</f>
        <v/>
      </c>
      <c r="E72">
        <f>IF(B72="","",IFERROR(VALUE(INDEX(D_VAL,B72)&amp;""),""))</f>
        <v/>
      </c>
      <c r="F72">
        <f>IF(B72="","",F71+(C72&lt;&gt;C71))</f>
        <v/>
      </c>
      <c r="G72">
        <f>IF(B72="","",F72&amp;"|"&amp;D72)</f>
        <v/>
      </c>
      <c r="AB72">
        <f>$AB$2+(66-1)*$AB$3</f>
        <v/>
      </c>
      <c r="AC72">
        <f>AB72+$AB$3/2</f>
        <v/>
      </c>
      <c r="AD72">
        <f>TEXT(AC72,IF($AB$3&lt;0.1,"0.00",IF($AB$3&lt;1,"0.0","0")))</f>
        <v/>
      </c>
      <c r="AE72">
        <f>IF($B$4=0,0,COUNTIFS('계산'!$E$12:$E$761,"&gt;="&amp;AB72,'계산'!$E$12:$E$761,"&lt;"&amp;AB72+$AB$3))</f>
        <v/>
      </c>
      <c r="AF72">
        <f>IF(AND(ISNUMBER($AO$20),ISNUMBER($AO$18)),$AO$18*$AB$3*NORMDIST(AC72,$AO$19,$AO$20,FALSE),NA())</f>
        <v/>
      </c>
      <c r="AG72">
        <f>IF(AND(ISNUMBER($AO$21),ISNUMBER($AO$18)),$AO$18*$AB$3*NORMDIST(AC72,$AO$19,$AO$21,FALSE),NA())</f>
        <v/>
      </c>
      <c r="AH72">
        <f>IF(ISNUMBER($AO$15),IF(AND($AO$15&gt;=AB72,$AO$15&lt;AB72+$AB$3),$AB$4,NA()),NA())</f>
        <v/>
      </c>
      <c r="AI72">
        <f>IF(ISNUMBER($AO$16),IF(AND($AO$16&gt;=AB72,$AO$16&lt;AB72+$AB$3),$AB$4,NA()),NA())</f>
        <v/>
      </c>
      <c r="AJ72">
        <f>IF(ISNUMBER($AO$17),IF(AND($AO$17&gt;=AB72,$AO$17&lt;AB72+$AB$3),$AB$4,NA()),NA())</f>
        <v/>
      </c>
    </row>
    <row r="73">
      <c r="A73" t="n">
        <v>62</v>
      </c>
      <c r="B73">
        <f>IF(A73&lt;=$B$4,$B$3+A73-1,"")</f>
        <v/>
      </c>
      <c r="C73">
        <f>IF(B73="","",INDEX(D_LOT,B73)&amp;"")</f>
        <v/>
      </c>
      <c r="D73">
        <f>IF(B73="","",INDEX(D_SEQ,B73))</f>
        <v/>
      </c>
      <c r="E73">
        <f>IF(B73="","",IFERROR(VALUE(INDEX(D_VAL,B73)&amp;""),""))</f>
        <v/>
      </c>
      <c r="F73">
        <f>IF(B73="","",F72+(C73&lt;&gt;C72))</f>
        <v/>
      </c>
      <c r="G73">
        <f>IF(B73="","",F73&amp;"|"&amp;D73)</f>
        <v/>
      </c>
      <c r="AB73">
        <f>$AB$2+(67-1)*$AB$3</f>
        <v/>
      </c>
      <c r="AC73">
        <f>AB73+$AB$3/2</f>
        <v/>
      </c>
      <c r="AD73">
        <f>TEXT(AC73,IF($AB$3&lt;0.1,"0.00",IF($AB$3&lt;1,"0.0","0")))</f>
        <v/>
      </c>
      <c r="AE73">
        <f>IF($B$4=0,0,COUNTIFS('계산'!$E$12:$E$761,"&gt;="&amp;AB73,'계산'!$E$12:$E$761,"&lt;"&amp;AB73+$AB$3))</f>
        <v/>
      </c>
      <c r="AF73">
        <f>IF(AND(ISNUMBER($AO$20),ISNUMBER($AO$18)),$AO$18*$AB$3*NORMDIST(AC73,$AO$19,$AO$20,FALSE),NA())</f>
        <v/>
      </c>
      <c r="AG73">
        <f>IF(AND(ISNUMBER($AO$21),ISNUMBER($AO$18)),$AO$18*$AB$3*NORMDIST(AC73,$AO$19,$AO$21,FALSE),NA())</f>
        <v/>
      </c>
      <c r="AH73">
        <f>IF(ISNUMBER($AO$15),IF(AND($AO$15&gt;=AB73,$AO$15&lt;AB73+$AB$3),$AB$4,NA()),NA())</f>
        <v/>
      </c>
      <c r="AI73">
        <f>IF(ISNUMBER($AO$16),IF(AND($AO$16&gt;=AB73,$AO$16&lt;AB73+$AB$3),$AB$4,NA()),NA())</f>
        <v/>
      </c>
      <c r="AJ73">
        <f>IF(ISNUMBER($AO$17),IF(AND($AO$17&gt;=AB73,$AO$17&lt;AB73+$AB$3),$AB$4,NA()),NA())</f>
        <v/>
      </c>
    </row>
    <row r="74">
      <c r="A74" t="n">
        <v>63</v>
      </c>
      <c r="B74">
        <f>IF(A74&lt;=$B$4,$B$3+A74-1,"")</f>
        <v/>
      </c>
      <c r="C74">
        <f>IF(B74="","",INDEX(D_LOT,B74)&amp;"")</f>
        <v/>
      </c>
      <c r="D74">
        <f>IF(B74="","",INDEX(D_SEQ,B74))</f>
        <v/>
      </c>
      <c r="E74">
        <f>IF(B74="","",IFERROR(VALUE(INDEX(D_VAL,B74)&amp;""),""))</f>
        <v/>
      </c>
      <c r="F74">
        <f>IF(B74="","",F73+(C74&lt;&gt;C73))</f>
        <v/>
      </c>
      <c r="G74">
        <f>IF(B74="","",F74&amp;"|"&amp;D74)</f>
        <v/>
      </c>
      <c r="AB74">
        <f>$AB$2+(68-1)*$AB$3</f>
        <v/>
      </c>
      <c r="AC74">
        <f>AB74+$AB$3/2</f>
        <v/>
      </c>
      <c r="AD74">
        <f>TEXT(AC74,IF($AB$3&lt;0.1,"0.00",IF($AB$3&lt;1,"0.0","0")))</f>
        <v/>
      </c>
      <c r="AE74">
        <f>IF($B$4=0,0,COUNTIFS('계산'!$E$12:$E$761,"&gt;="&amp;AB74,'계산'!$E$12:$E$761,"&lt;"&amp;AB74+$AB$3))</f>
        <v/>
      </c>
      <c r="AF74">
        <f>IF(AND(ISNUMBER($AO$20),ISNUMBER($AO$18)),$AO$18*$AB$3*NORMDIST(AC74,$AO$19,$AO$20,FALSE),NA())</f>
        <v/>
      </c>
      <c r="AG74">
        <f>IF(AND(ISNUMBER($AO$21),ISNUMBER($AO$18)),$AO$18*$AB$3*NORMDIST(AC74,$AO$19,$AO$21,FALSE),NA())</f>
        <v/>
      </c>
      <c r="AH74">
        <f>IF(ISNUMBER($AO$15),IF(AND($AO$15&gt;=AB74,$AO$15&lt;AB74+$AB$3),$AB$4,NA()),NA())</f>
        <v/>
      </c>
      <c r="AI74">
        <f>IF(ISNUMBER($AO$16),IF(AND($AO$16&gt;=AB74,$AO$16&lt;AB74+$AB$3),$AB$4,NA()),NA())</f>
        <v/>
      </c>
      <c r="AJ74">
        <f>IF(ISNUMBER($AO$17),IF(AND($AO$17&gt;=AB74,$AO$17&lt;AB74+$AB$3),$AB$4,NA()),NA())</f>
        <v/>
      </c>
    </row>
    <row r="75">
      <c r="A75" t="n">
        <v>64</v>
      </c>
      <c r="B75">
        <f>IF(A75&lt;=$B$4,$B$3+A75-1,"")</f>
        <v/>
      </c>
      <c r="C75">
        <f>IF(B75="","",INDEX(D_LOT,B75)&amp;"")</f>
        <v/>
      </c>
      <c r="D75">
        <f>IF(B75="","",INDEX(D_SEQ,B75))</f>
        <v/>
      </c>
      <c r="E75">
        <f>IF(B75="","",IFERROR(VALUE(INDEX(D_VAL,B75)&amp;""),""))</f>
        <v/>
      </c>
      <c r="F75">
        <f>IF(B75="","",F74+(C75&lt;&gt;C74))</f>
        <v/>
      </c>
      <c r="G75">
        <f>IF(B75="","",F75&amp;"|"&amp;D75)</f>
        <v/>
      </c>
      <c r="AB75">
        <f>$AB$2+(69-1)*$AB$3</f>
        <v/>
      </c>
      <c r="AC75">
        <f>AB75+$AB$3/2</f>
        <v/>
      </c>
      <c r="AD75">
        <f>TEXT(AC75,IF($AB$3&lt;0.1,"0.00",IF($AB$3&lt;1,"0.0","0")))</f>
        <v/>
      </c>
      <c r="AE75">
        <f>IF($B$4=0,0,COUNTIFS('계산'!$E$12:$E$761,"&gt;="&amp;AB75,'계산'!$E$12:$E$761,"&lt;"&amp;AB75+$AB$3))</f>
        <v/>
      </c>
      <c r="AF75">
        <f>IF(AND(ISNUMBER($AO$20),ISNUMBER($AO$18)),$AO$18*$AB$3*NORMDIST(AC75,$AO$19,$AO$20,FALSE),NA())</f>
        <v/>
      </c>
      <c r="AG75">
        <f>IF(AND(ISNUMBER($AO$21),ISNUMBER($AO$18)),$AO$18*$AB$3*NORMDIST(AC75,$AO$19,$AO$21,FALSE),NA())</f>
        <v/>
      </c>
      <c r="AH75">
        <f>IF(ISNUMBER($AO$15),IF(AND($AO$15&gt;=AB75,$AO$15&lt;AB75+$AB$3),$AB$4,NA()),NA())</f>
        <v/>
      </c>
      <c r="AI75">
        <f>IF(ISNUMBER($AO$16),IF(AND($AO$16&gt;=AB75,$AO$16&lt;AB75+$AB$3),$AB$4,NA()),NA())</f>
        <v/>
      </c>
      <c r="AJ75">
        <f>IF(ISNUMBER($AO$17),IF(AND($AO$17&gt;=AB75,$AO$17&lt;AB75+$AB$3),$AB$4,NA()),NA())</f>
        <v/>
      </c>
    </row>
    <row r="76">
      <c r="A76" t="n">
        <v>65</v>
      </c>
      <c r="B76">
        <f>IF(A76&lt;=$B$4,$B$3+A76-1,"")</f>
        <v/>
      </c>
      <c r="C76">
        <f>IF(B76="","",INDEX(D_LOT,B76)&amp;"")</f>
        <v/>
      </c>
      <c r="D76">
        <f>IF(B76="","",INDEX(D_SEQ,B76))</f>
        <v/>
      </c>
      <c r="E76">
        <f>IF(B76="","",IFERROR(VALUE(INDEX(D_VAL,B76)&amp;""),""))</f>
        <v/>
      </c>
      <c r="F76">
        <f>IF(B76="","",F75+(C76&lt;&gt;C75))</f>
        <v/>
      </c>
      <c r="G76">
        <f>IF(B76="","",F76&amp;"|"&amp;D76)</f>
        <v/>
      </c>
      <c r="AB76">
        <f>$AB$2+(70-1)*$AB$3</f>
        <v/>
      </c>
      <c r="AC76">
        <f>AB76+$AB$3/2</f>
        <v/>
      </c>
      <c r="AD76">
        <f>TEXT(AC76,IF($AB$3&lt;0.1,"0.00",IF($AB$3&lt;1,"0.0","0")))</f>
        <v/>
      </c>
      <c r="AE76">
        <f>IF($B$4=0,0,COUNTIFS('계산'!$E$12:$E$761,"&gt;="&amp;AB76,'계산'!$E$12:$E$761,"&lt;"&amp;AB76+$AB$3))</f>
        <v/>
      </c>
      <c r="AF76">
        <f>IF(AND(ISNUMBER($AO$20),ISNUMBER($AO$18)),$AO$18*$AB$3*NORMDIST(AC76,$AO$19,$AO$20,FALSE),NA())</f>
        <v/>
      </c>
      <c r="AG76">
        <f>IF(AND(ISNUMBER($AO$21),ISNUMBER($AO$18)),$AO$18*$AB$3*NORMDIST(AC76,$AO$19,$AO$21,FALSE),NA())</f>
        <v/>
      </c>
      <c r="AH76">
        <f>IF(ISNUMBER($AO$15),IF(AND($AO$15&gt;=AB76,$AO$15&lt;AB76+$AB$3),$AB$4,NA()),NA())</f>
        <v/>
      </c>
      <c r="AI76">
        <f>IF(ISNUMBER($AO$16),IF(AND($AO$16&gt;=AB76,$AO$16&lt;AB76+$AB$3),$AB$4,NA()),NA())</f>
        <v/>
      </c>
      <c r="AJ76">
        <f>IF(ISNUMBER($AO$17),IF(AND($AO$17&gt;=AB76,$AO$17&lt;AB76+$AB$3),$AB$4,NA()),NA())</f>
        <v/>
      </c>
    </row>
    <row r="77">
      <c r="A77" t="n">
        <v>66</v>
      </c>
      <c r="B77">
        <f>IF(A77&lt;=$B$4,$B$3+A77-1,"")</f>
        <v/>
      </c>
      <c r="C77">
        <f>IF(B77="","",INDEX(D_LOT,B77)&amp;"")</f>
        <v/>
      </c>
      <c r="D77">
        <f>IF(B77="","",INDEX(D_SEQ,B77))</f>
        <v/>
      </c>
      <c r="E77">
        <f>IF(B77="","",IFERROR(VALUE(INDEX(D_VAL,B77)&amp;""),""))</f>
        <v/>
      </c>
      <c r="F77">
        <f>IF(B77="","",F76+(C77&lt;&gt;C76))</f>
        <v/>
      </c>
      <c r="G77">
        <f>IF(B77="","",F77&amp;"|"&amp;D77)</f>
        <v/>
      </c>
      <c r="AB77">
        <f>$AB$2+(71-1)*$AB$3</f>
        <v/>
      </c>
      <c r="AC77">
        <f>AB77+$AB$3/2</f>
        <v/>
      </c>
      <c r="AD77">
        <f>TEXT(AC77,IF($AB$3&lt;0.1,"0.00",IF($AB$3&lt;1,"0.0","0")))</f>
        <v/>
      </c>
      <c r="AE77">
        <f>IF($B$4=0,0,COUNTIFS('계산'!$E$12:$E$761,"&gt;="&amp;AB77,'계산'!$E$12:$E$761,"&lt;"&amp;AB77+$AB$3))</f>
        <v/>
      </c>
      <c r="AF77">
        <f>IF(AND(ISNUMBER($AO$20),ISNUMBER($AO$18)),$AO$18*$AB$3*NORMDIST(AC77,$AO$19,$AO$20,FALSE),NA())</f>
        <v/>
      </c>
      <c r="AG77">
        <f>IF(AND(ISNUMBER($AO$21),ISNUMBER($AO$18)),$AO$18*$AB$3*NORMDIST(AC77,$AO$19,$AO$21,FALSE),NA())</f>
        <v/>
      </c>
      <c r="AH77">
        <f>IF(ISNUMBER($AO$15),IF(AND($AO$15&gt;=AB77,$AO$15&lt;AB77+$AB$3),$AB$4,NA()),NA())</f>
        <v/>
      </c>
      <c r="AI77">
        <f>IF(ISNUMBER($AO$16),IF(AND($AO$16&gt;=AB77,$AO$16&lt;AB77+$AB$3),$AB$4,NA()),NA())</f>
        <v/>
      </c>
      <c r="AJ77">
        <f>IF(ISNUMBER($AO$17),IF(AND($AO$17&gt;=AB77,$AO$17&lt;AB77+$AB$3),$AB$4,NA()),NA())</f>
        <v/>
      </c>
    </row>
    <row r="78">
      <c r="A78" t="n">
        <v>67</v>
      </c>
      <c r="B78">
        <f>IF(A78&lt;=$B$4,$B$3+A78-1,"")</f>
        <v/>
      </c>
      <c r="C78">
        <f>IF(B78="","",INDEX(D_LOT,B78)&amp;"")</f>
        <v/>
      </c>
      <c r="D78">
        <f>IF(B78="","",INDEX(D_SEQ,B78))</f>
        <v/>
      </c>
      <c r="E78">
        <f>IF(B78="","",IFERROR(VALUE(INDEX(D_VAL,B78)&amp;""),""))</f>
        <v/>
      </c>
      <c r="F78">
        <f>IF(B78="","",F77+(C78&lt;&gt;C77))</f>
        <v/>
      </c>
      <c r="G78">
        <f>IF(B78="","",F78&amp;"|"&amp;D78)</f>
        <v/>
      </c>
      <c r="AB78">
        <f>$AB$2+(72-1)*$AB$3</f>
        <v/>
      </c>
      <c r="AC78">
        <f>AB78+$AB$3/2</f>
        <v/>
      </c>
      <c r="AD78">
        <f>TEXT(AC78,IF($AB$3&lt;0.1,"0.00",IF($AB$3&lt;1,"0.0","0")))</f>
        <v/>
      </c>
      <c r="AE78">
        <f>IF($B$4=0,0,COUNTIFS('계산'!$E$12:$E$761,"&gt;="&amp;AB78,'계산'!$E$12:$E$761,"&lt;"&amp;AB78+$AB$3))</f>
        <v/>
      </c>
      <c r="AF78">
        <f>IF(AND(ISNUMBER($AO$20),ISNUMBER($AO$18)),$AO$18*$AB$3*NORMDIST(AC78,$AO$19,$AO$20,FALSE),NA())</f>
        <v/>
      </c>
      <c r="AG78">
        <f>IF(AND(ISNUMBER($AO$21),ISNUMBER($AO$18)),$AO$18*$AB$3*NORMDIST(AC78,$AO$19,$AO$21,FALSE),NA())</f>
        <v/>
      </c>
      <c r="AH78">
        <f>IF(ISNUMBER($AO$15),IF(AND($AO$15&gt;=AB78,$AO$15&lt;AB78+$AB$3),$AB$4,NA()),NA())</f>
        <v/>
      </c>
      <c r="AI78">
        <f>IF(ISNUMBER($AO$16),IF(AND($AO$16&gt;=AB78,$AO$16&lt;AB78+$AB$3),$AB$4,NA()),NA())</f>
        <v/>
      </c>
      <c r="AJ78">
        <f>IF(ISNUMBER($AO$17),IF(AND($AO$17&gt;=AB78,$AO$17&lt;AB78+$AB$3),$AB$4,NA()),NA())</f>
        <v/>
      </c>
    </row>
    <row r="79">
      <c r="A79" t="n">
        <v>68</v>
      </c>
      <c r="B79">
        <f>IF(A79&lt;=$B$4,$B$3+A79-1,"")</f>
        <v/>
      </c>
      <c r="C79">
        <f>IF(B79="","",INDEX(D_LOT,B79)&amp;"")</f>
        <v/>
      </c>
      <c r="D79">
        <f>IF(B79="","",INDEX(D_SEQ,B79))</f>
        <v/>
      </c>
      <c r="E79">
        <f>IF(B79="","",IFERROR(VALUE(INDEX(D_VAL,B79)&amp;""),""))</f>
        <v/>
      </c>
      <c r="F79">
        <f>IF(B79="","",F78+(C79&lt;&gt;C78))</f>
        <v/>
      </c>
      <c r="G79">
        <f>IF(B79="","",F79&amp;"|"&amp;D79)</f>
        <v/>
      </c>
      <c r="AB79">
        <f>$AB$2+(73-1)*$AB$3</f>
        <v/>
      </c>
      <c r="AC79">
        <f>AB79+$AB$3/2</f>
        <v/>
      </c>
      <c r="AD79">
        <f>TEXT(AC79,IF($AB$3&lt;0.1,"0.00",IF($AB$3&lt;1,"0.0","0")))</f>
        <v/>
      </c>
      <c r="AE79">
        <f>IF($B$4=0,0,COUNTIFS('계산'!$E$12:$E$761,"&gt;="&amp;AB79,'계산'!$E$12:$E$761,"&lt;"&amp;AB79+$AB$3))</f>
        <v/>
      </c>
      <c r="AF79">
        <f>IF(AND(ISNUMBER($AO$20),ISNUMBER($AO$18)),$AO$18*$AB$3*NORMDIST(AC79,$AO$19,$AO$20,FALSE),NA())</f>
        <v/>
      </c>
      <c r="AG79">
        <f>IF(AND(ISNUMBER($AO$21),ISNUMBER($AO$18)),$AO$18*$AB$3*NORMDIST(AC79,$AO$19,$AO$21,FALSE),NA())</f>
        <v/>
      </c>
      <c r="AH79">
        <f>IF(ISNUMBER($AO$15),IF(AND($AO$15&gt;=AB79,$AO$15&lt;AB79+$AB$3),$AB$4,NA()),NA())</f>
        <v/>
      </c>
      <c r="AI79">
        <f>IF(ISNUMBER($AO$16),IF(AND($AO$16&gt;=AB79,$AO$16&lt;AB79+$AB$3),$AB$4,NA()),NA())</f>
        <v/>
      </c>
      <c r="AJ79">
        <f>IF(ISNUMBER($AO$17),IF(AND($AO$17&gt;=AB79,$AO$17&lt;AB79+$AB$3),$AB$4,NA()),NA())</f>
        <v/>
      </c>
    </row>
    <row r="80">
      <c r="A80" t="n">
        <v>69</v>
      </c>
      <c r="B80">
        <f>IF(A80&lt;=$B$4,$B$3+A80-1,"")</f>
        <v/>
      </c>
      <c r="C80">
        <f>IF(B80="","",INDEX(D_LOT,B80)&amp;"")</f>
        <v/>
      </c>
      <c r="D80">
        <f>IF(B80="","",INDEX(D_SEQ,B80))</f>
        <v/>
      </c>
      <c r="E80">
        <f>IF(B80="","",IFERROR(VALUE(INDEX(D_VAL,B80)&amp;""),""))</f>
        <v/>
      </c>
      <c r="F80">
        <f>IF(B80="","",F79+(C80&lt;&gt;C79))</f>
        <v/>
      </c>
      <c r="G80">
        <f>IF(B80="","",F80&amp;"|"&amp;D80)</f>
        <v/>
      </c>
      <c r="AB80">
        <f>$AB$2+(74-1)*$AB$3</f>
        <v/>
      </c>
      <c r="AC80">
        <f>AB80+$AB$3/2</f>
        <v/>
      </c>
      <c r="AD80">
        <f>TEXT(AC80,IF($AB$3&lt;0.1,"0.00",IF($AB$3&lt;1,"0.0","0")))</f>
        <v/>
      </c>
      <c r="AE80">
        <f>IF($B$4=0,0,COUNTIFS('계산'!$E$12:$E$761,"&gt;="&amp;AB80,'계산'!$E$12:$E$761,"&lt;"&amp;AB80+$AB$3))</f>
        <v/>
      </c>
      <c r="AF80">
        <f>IF(AND(ISNUMBER($AO$20),ISNUMBER($AO$18)),$AO$18*$AB$3*NORMDIST(AC80,$AO$19,$AO$20,FALSE),NA())</f>
        <v/>
      </c>
      <c r="AG80">
        <f>IF(AND(ISNUMBER($AO$21),ISNUMBER($AO$18)),$AO$18*$AB$3*NORMDIST(AC80,$AO$19,$AO$21,FALSE),NA())</f>
        <v/>
      </c>
      <c r="AH80">
        <f>IF(ISNUMBER($AO$15),IF(AND($AO$15&gt;=AB80,$AO$15&lt;AB80+$AB$3),$AB$4,NA()),NA())</f>
        <v/>
      </c>
      <c r="AI80">
        <f>IF(ISNUMBER($AO$16),IF(AND($AO$16&gt;=AB80,$AO$16&lt;AB80+$AB$3),$AB$4,NA()),NA())</f>
        <v/>
      </c>
      <c r="AJ80">
        <f>IF(ISNUMBER($AO$17),IF(AND($AO$17&gt;=AB80,$AO$17&lt;AB80+$AB$3),$AB$4,NA()),NA())</f>
        <v/>
      </c>
    </row>
    <row r="81">
      <c r="A81" t="n">
        <v>70</v>
      </c>
      <c r="B81">
        <f>IF(A81&lt;=$B$4,$B$3+A81-1,"")</f>
        <v/>
      </c>
      <c r="C81">
        <f>IF(B81="","",INDEX(D_LOT,B81)&amp;"")</f>
        <v/>
      </c>
      <c r="D81">
        <f>IF(B81="","",INDEX(D_SEQ,B81))</f>
        <v/>
      </c>
      <c r="E81">
        <f>IF(B81="","",IFERROR(VALUE(INDEX(D_VAL,B81)&amp;""),""))</f>
        <v/>
      </c>
      <c r="F81">
        <f>IF(B81="","",F80+(C81&lt;&gt;C80))</f>
        <v/>
      </c>
      <c r="G81">
        <f>IF(B81="","",F81&amp;"|"&amp;D81)</f>
        <v/>
      </c>
      <c r="AB81">
        <f>$AB$2+(75-1)*$AB$3</f>
        <v/>
      </c>
      <c r="AC81">
        <f>AB81+$AB$3/2</f>
        <v/>
      </c>
      <c r="AD81">
        <f>TEXT(AC81,IF($AB$3&lt;0.1,"0.00",IF($AB$3&lt;1,"0.0","0")))</f>
        <v/>
      </c>
      <c r="AE81">
        <f>IF($B$4=0,0,COUNTIFS('계산'!$E$12:$E$761,"&gt;="&amp;AB81,'계산'!$E$12:$E$761,"&lt;"&amp;AB81+$AB$3))</f>
        <v/>
      </c>
      <c r="AF81">
        <f>IF(AND(ISNUMBER($AO$20),ISNUMBER($AO$18)),$AO$18*$AB$3*NORMDIST(AC81,$AO$19,$AO$20,FALSE),NA())</f>
        <v/>
      </c>
      <c r="AG81">
        <f>IF(AND(ISNUMBER($AO$21),ISNUMBER($AO$18)),$AO$18*$AB$3*NORMDIST(AC81,$AO$19,$AO$21,FALSE),NA())</f>
        <v/>
      </c>
      <c r="AH81">
        <f>IF(ISNUMBER($AO$15),IF(AND($AO$15&gt;=AB81,$AO$15&lt;AB81+$AB$3),$AB$4,NA()),NA())</f>
        <v/>
      </c>
      <c r="AI81">
        <f>IF(ISNUMBER($AO$16),IF(AND($AO$16&gt;=AB81,$AO$16&lt;AB81+$AB$3),$AB$4,NA()),NA())</f>
        <v/>
      </c>
      <c r="AJ81">
        <f>IF(ISNUMBER($AO$17),IF(AND($AO$17&gt;=AB81,$AO$17&lt;AB81+$AB$3),$AB$4,NA()),NA())</f>
        <v/>
      </c>
    </row>
    <row r="82">
      <c r="A82" t="n">
        <v>71</v>
      </c>
      <c r="B82">
        <f>IF(A82&lt;=$B$4,$B$3+A82-1,"")</f>
        <v/>
      </c>
      <c r="C82">
        <f>IF(B82="","",INDEX(D_LOT,B82)&amp;"")</f>
        <v/>
      </c>
      <c r="D82">
        <f>IF(B82="","",INDEX(D_SEQ,B82))</f>
        <v/>
      </c>
      <c r="E82">
        <f>IF(B82="","",IFERROR(VALUE(INDEX(D_VAL,B82)&amp;""),""))</f>
        <v/>
      </c>
      <c r="F82">
        <f>IF(B82="","",F81+(C82&lt;&gt;C81))</f>
        <v/>
      </c>
      <c r="G82">
        <f>IF(B82="","",F82&amp;"|"&amp;D82)</f>
        <v/>
      </c>
      <c r="AB82">
        <f>$AB$2+(76-1)*$AB$3</f>
        <v/>
      </c>
      <c r="AC82">
        <f>AB82+$AB$3/2</f>
        <v/>
      </c>
      <c r="AD82">
        <f>TEXT(AC82,IF($AB$3&lt;0.1,"0.00",IF($AB$3&lt;1,"0.0","0")))</f>
        <v/>
      </c>
      <c r="AE82">
        <f>IF($B$4=0,0,COUNTIFS('계산'!$E$12:$E$761,"&gt;="&amp;AB82,'계산'!$E$12:$E$761,"&lt;"&amp;AB82+$AB$3))</f>
        <v/>
      </c>
      <c r="AF82">
        <f>IF(AND(ISNUMBER($AO$20),ISNUMBER($AO$18)),$AO$18*$AB$3*NORMDIST(AC82,$AO$19,$AO$20,FALSE),NA())</f>
        <v/>
      </c>
      <c r="AG82">
        <f>IF(AND(ISNUMBER($AO$21),ISNUMBER($AO$18)),$AO$18*$AB$3*NORMDIST(AC82,$AO$19,$AO$21,FALSE),NA())</f>
        <v/>
      </c>
      <c r="AH82">
        <f>IF(ISNUMBER($AO$15),IF(AND($AO$15&gt;=AB82,$AO$15&lt;AB82+$AB$3),$AB$4,NA()),NA())</f>
        <v/>
      </c>
      <c r="AI82">
        <f>IF(ISNUMBER($AO$16),IF(AND($AO$16&gt;=AB82,$AO$16&lt;AB82+$AB$3),$AB$4,NA()),NA())</f>
        <v/>
      </c>
      <c r="AJ82">
        <f>IF(ISNUMBER($AO$17),IF(AND($AO$17&gt;=AB82,$AO$17&lt;AB82+$AB$3),$AB$4,NA()),NA())</f>
        <v/>
      </c>
    </row>
    <row r="83">
      <c r="A83" t="n">
        <v>72</v>
      </c>
      <c r="B83">
        <f>IF(A83&lt;=$B$4,$B$3+A83-1,"")</f>
        <v/>
      </c>
      <c r="C83">
        <f>IF(B83="","",INDEX(D_LOT,B83)&amp;"")</f>
        <v/>
      </c>
      <c r="D83">
        <f>IF(B83="","",INDEX(D_SEQ,B83))</f>
        <v/>
      </c>
      <c r="E83">
        <f>IF(B83="","",IFERROR(VALUE(INDEX(D_VAL,B83)&amp;""),""))</f>
        <v/>
      </c>
      <c r="F83">
        <f>IF(B83="","",F82+(C83&lt;&gt;C82))</f>
        <v/>
      </c>
      <c r="G83">
        <f>IF(B83="","",F83&amp;"|"&amp;D83)</f>
        <v/>
      </c>
      <c r="AB83">
        <f>$AB$2+(77-1)*$AB$3</f>
        <v/>
      </c>
      <c r="AC83">
        <f>AB83+$AB$3/2</f>
        <v/>
      </c>
      <c r="AD83">
        <f>TEXT(AC83,IF($AB$3&lt;0.1,"0.00",IF($AB$3&lt;1,"0.0","0")))</f>
        <v/>
      </c>
      <c r="AE83">
        <f>IF($B$4=0,0,COUNTIFS('계산'!$E$12:$E$761,"&gt;="&amp;AB83,'계산'!$E$12:$E$761,"&lt;"&amp;AB83+$AB$3))</f>
        <v/>
      </c>
      <c r="AF83">
        <f>IF(AND(ISNUMBER($AO$20),ISNUMBER($AO$18)),$AO$18*$AB$3*NORMDIST(AC83,$AO$19,$AO$20,FALSE),NA())</f>
        <v/>
      </c>
      <c r="AG83">
        <f>IF(AND(ISNUMBER($AO$21),ISNUMBER($AO$18)),$AO$18*$AB$3*NORMDIST(AC83,$AO$19,$AO$21,FALSE),NA())</f>
        <v/>
      </c>
      <c r="AH83">
        <f>IF(ISNUMBER($AO$15),IF(AND($AO$15&gt;=AB83,$AO$15&lt;AB83+$AB$3),$AB$4,NA()),NA())</f>
        <v/>
      </c>
      <c r="AI83">
        <f>IF(ISNUMBER($AO$16),IF(AND($AO$16&gt;=AB83,$AO$16&lt;AB83+$AB$3),$AB$4,NA()),NA())</f>
        <v/>
      </c>
      <c r="AJ83">
        <f>IF(ISNUMBER($AO$17),IF(AND($AO$17&gt;=AB83,$AO$17&lt;AB83+$AB$3),$AB$4,NA()),NA())</f>
        <v/>
      </c>
    </row>
    <row r="84">
      <c r="A84" t="n">
        <v>73</v>
      </c>
      <c r="B84">
        <f>IF(A84&lt;=$B$4,$B$3+A84-1,"")</f>
        <v/>
      </c>
      <c r="C84">
        <f>IF(B84="","",INDEX(D_LOT,B84)&amp;"")</f>
        <v/>
      </c>
      <c r="D84">
        <f>IF(B84="","",INDEX(D_SEQ,B84))</f>
        <v/>
      </c>
      <c r="E84">
        <f>IF(B84="","",IFERROR(VALUE(INDEX(D_VAL,B84)&amp;""),""))</f>
        <v/>
      </c>
      <c r="F84">
        <f>IF(B84="","",F83+(C84&lt;&gt;C83))</f>
        <v/>
      </c>
      <c r="G84">
        <f>IF(B84="","",F84&amp;"|"&amp;D84)</f>
        <v/>
      </c>
      <c r="AB84">
        <f>$AB$2+(78-1)*$AB$3</f>
        <v/>
      </c>
      <c r="AC84">
        <f>AB84+$AB$3/2</f>
        <v/>
      </c>
      <c r="AD84">
        <f>TEXT(AC84,IF($AB$3&lt;0.1,"0.00",IF($AB$3&lt;1,"0.0","0")))</f>
        <v/>
      </c>
      <c r="AE84">
        <f>IF($B$4=0,0,COUNTIFS('계산'!$E$12:$E$761,"&gt;="&amp;AB84,'계산'!$E$12:$E$761,"&lt;"&amp;AB84+$AB$3))</f>
        <v/>
      </c>
      <c r="AF84">
        <f>IF(AND(ISNUMBER($AO$20),ISNUMBER($AO$18)),$AO$18*$AB$3*NORMDIST(AC84,$AO$19,$AO$20,FALSE),NA())</f>
        <v/>
      </c>
      <c r="AG84">
        <f>IF(AND(ISNUMBER($AO$21),ISNUMBER($AO$18)),$AO$18*$AB$3*NORMDIST(AC84,$AO$19,$AO$21,FALSE),NA())</f>
        <v/>
      </c>
      <c r="AH84">
        <f>IF(ISNUMBER($AO$15),IF(AND($AO$15&gt;=AB84,$AO$15&lt;AB84+$AB$3),$AB$4,NA()),NA())</f>
        <v/>
      </c>
      <c r="AI84">
        <f>IF(ISNUMBER($AO$16),IF(AND($AO$16&gt;=AB84,$AO$16&lt;AB84+$AB$3),$AB$4,NA()),NA())</f>
        <v/>
      </c>
      <c r="AJ84">
        <f>IF(ISNUMBER($AO$17),IF(AND($AO$17&gt;=AB84,$AO$17&lt;AB84+$AB$3),$AB$4,NA()),NA())</f>
        <v/>
      </c>
    </row>
    <row r="85">
      <c r="A85" t="n">
        <v>74</v>
      </c>
      <c r="B85">
        <f>IF(A85&lt;=$B$4,$B$3+A85-1,"")</f>
        <v/>
      </c>
      <c r="C85">
        <f>IF(B85="","",INDEX(D_LOT,B85)&amp;"")</f>
        <v/>
      </c>
      <c r="D85">
        <f>IF(B85="","",INDEX(D_SEQ,B85))</f>
        <v/>
      </c>
      <c r="E85">
        <f>IF(B85="","",IFERROR(VALUE(INDEX(D_VAL,B85)&amp;""),""))</f>
        <v/>
      </c>
      <c r="F85">
        <f>IF(B85="","",F84+(C85&lt;&gt;C84))</f>
        <v/>
      </c>
      <c r="G85">
        <f>IF(B85="","",F85&amp;"|"&amp;D85)</f>
        <v/>
      </c>
      <c r="AB85">
        <f>$AB$2+(79-1)*$AB$3</f>
        <v/>
      </c>
      <c r="AC85">
        <f>AB85+$AB$3/2</f>
        <v/>
      </c>
      <c r="AD85">
        <f>TEXT(AC85,IF($AB$3&lt;0.1,"0.00",IF($AB$3&lt;1,"0.0","0")))</f>
        <v/>
      </c>
      <c r="AE85">
        <f>IF($B$4=0,0,COUNTIFS('계산'!$E$12:$E$761,"&gt;="&amp;AB85,'계산'!$E$12:$E$761,"&lt;"&amp;AB85+$AB$3))</f>
        <v/>
      </c>
      <c r="AF85">
        <f>IF(AND(ISNUMBER($AO$20),ISNUMBER($AO$18)),$AO$18*$AB$3*NORMDIST(AC85,$AO$19,$AO$20,FALSE),NA())</f>
        <v/>
      </c>
      <c r="AG85">
        <f>IF(AND(ISNUMBER($AO$21),ISNUMBER($AO$18)),$AO$18*$AB$3*NORMDIST(AC85,$AO$19,$AO$21,FALSE),NA())</f>
        <v/>
      </c>
      <c r="AH85">
        <f>IF(ISNUMBER($AO$15),IF(AND($AO$15&gt;=AB85,$AO$15&lt;AB85+$AB$3),$AB$4,NA()),NA())</f>
        <v/>
      </c>
      <c r="AI85">
        <f>IF(ISNUMBER($AO$16),IF(AND($AO$16&gt;=AB85,$AO$16&lt;AB85+$AB$3),$AB$4,NA()),NA())</f>
        <v/>
      </c>
      <c r="AJ85">
        <f>IF(ISNUMBER($AO$17),IF(AND($AO$17&gt;=AB85,$AO$17&lt;AB85+$AB$3),$AB$4,NA()),NA())</f>
        <v/>
      </c>
    </row>
    <row r="86">
      <c r="A86" t="n">
        <v>75</v>
      </c>
      <c r="B86">
        <f>IF(A86&lt;=$B$4,$B$3+A86-1,"")</f>
        <v/>
      </c>
      <c r="C86">
        <f>IF(B86="","",INDEX(D_LOT,B86)&amp;"")</f>
        <v/>
      </c>
      <c r="D86">
        <f>IF(B86="","",INDEX(D_SEQ,B86))</f>
        <v/>
      </c>
      <c r="E86">
        <f>IF(B86="","",IFERROR(VALUE(INDEX(D_VAL,B86)&amp;""),""))</f>
        <v/>
      </c>
      <c r="F86">
        <f>IF(B86="","",F85+(C86&lt;&gt;C85))</f>
        <v/>
      </c>
      <c r="G86">
        <f>IF(B86="","",F86&amp;"|"&amp;D86)</f>
        <v/>
      </c>
      <c r="AB86">
        <f>$AB$2+(80-1)*$AB$3</f>
        <v/>
      </c>
      <c r="AC86">
        <f>AB86+$AB$3/2</f>
        <v/>
      </c>
      <c r="AD86">
        <f>TEXT(AC86,IF($AB$3&lt;0.1,"0.00",IF($AB$3&lt;1,"0.0","0")))</f>
        <v/>
      </c>
      <c r="AE86">
        <f>IF($B$4=0,0,COUNTIFS('계산'!$E$12:$E$761,"&gt;="&amp;AB86,'계산'!$E$12:$E$761,"&lt;="&amp;AB86+$AB$3))</f>
        <v/>
      </c>
      <c r="AF86">
        <f>IF(AND(ISNUMBER($AO$20),ISNUMBER($AO$18)),$AO$18*$AB$3*NORMDIST(AC86,$AO$19,$AO$20,FALSE),NA())</f>
        <v/>
      </c>
      <c r="AG86">
        <f>IF(AND(ISNUMBER($AO$21),ISNUMBER($AO$18)),$AO$18*$AB$3*NORMDIST(AC86,$AO$19,$AO$21,FALSE),NA())</f>
        <v/>
      </c>
      <c r="AH86">
        <f>IF(ISNUMBER($AO$15),IF(AND($AO$15&gt;=AB86,$AO$15&lt;AB86+$AB$3),$AB$4,NA()),NA())</f>
        <v/>
      </c>
      <c r="AI86">
        <f>IF(ISNUMBER($AO$16),IF(AND($AO$16&gt;=AB86,$AO$16&lt;AB86+$AB$3),$AB$4,NA()),NA())</f>
        <v/>
      </c>
      <c r="AJ86">
        <f>IF(ISNUMBER($AO$17),IF(AND($AO$17&gt;=AB86,$AO$17&lt;AB86+$AB$3),$AB$4,NA()),NA())</f>
        <v/>
      </c>
    </row>
    <row r="87">
      <c r="A87" t="n">
        <v>76</v>
      </c>
      <c r="B87">
        <f>IF(A87&lt;=$B$4,$B$3+A87-1,"")</f>
        <v/>
      </c>
      <c r="C87">
        <f>IF(B87="","",INDEX(D_LOT,B87)&amp;"")</f>
        <v/>
      </c>
      <c r="D87">
        <f>IF(B87="","",INDEX(D_SEQ,B87))</f>
        <v/>
      </c>
      <c r="E87">
        <f>IF(B87="","",IFERROR(VALUE(INDEX(D_VAL,B87)&amp;""),""))</f>
        <v/>
      </c>
      <c r="F87">
        <f>IF(B87="","",F86+(C87&lt;&gt;C86))</f>
        <v/>
      </c>
      <c r="G87">
        <f>IF(B87="","",F87&amp;"|"&amp;D87)</f>
        <v/>
      </c>
    </row>
    <row r="88">
      <c r="A88" t="n">
        <v>77</v>
      </c>
      <c r="B88">
        <f>IF(A88&lt;=$B$4,$B$3+A88-1,"")</f>
        <v/>
      </c>
      <c r="C88">
        <f>IF(B88="","",INDEX(D_LOT,B88)&amp;"")</f>
        <v/>
      </c>
      <c r="D88">
        <f>IF(B88="","",INDEX(D_SEQ,B88))</f>
        <v/>
      </c>
      <c r="E88">
        <f>IF(B88="","",IFERROR(VALUE(INDEX(D_VAL,B88)&amp;""),""))</f>
        <v/>
      </c>
      <c r="F88">
        <f>IF(B88="","",F87+(C88&lt;&gt;C87))</f>
        <v/>
      </c>
      <c r="G88">
        <f>IF(B88="","",F88&amp;"|"&amp;D88)</f>
        <v/>
      </c>
    </row>
    <row r="89">
      <c r="A89" t="n">
        <v>78</v>
      </c>
      <c r="B89">
        <f>IF(A89&lt;=$B$4,$B$3+A89-1,"")</f>
        <v/>
      </c>
      <c r="C89">
        <f>IF(B89="","",INDEX(D_LOT,B89)&amp;"")</f>
        <v/>
      </c>
      <c r="D89">
        <f>IF(B89="","",INDEX(D_SEQ,B89))</f>
        <v/>
      </c>
      <c r="E89">
        <f>IF(B89="","",IFERROR(VALUE(INDEX(D_VAL,B89)&amp;""),""))</f>
        <v/>
      </c>
      <c r="F89">
        <f>IF(B89="","",F88+(C89&lt;&gt;C88))</f>
        <v/>
      </c>
      <c r="G89">
        <f>IF(B89="","",F89&amp;"|"&amp;D89)</f>
        <v/>
      </c>
    </row>
    <row r="90">
      <c r="A90" t="n">
        <v>79</v>
      </c>
      <c r="B90">
        <f>IF(A90&lt;=$B$4,$B$3+A90-1,"")</f>
        <v/>
      </c>
      <c r="C90">
        <f>IF(B90="","",INDEX(D_LOT,B90)&amp;"")</f>
        <v/>
      </c>
      <c r="D90">
        <f>IF(B90="","",INDEX(D_SEQ,B90))</f>
        <v/>
      </c>
      <c r="E90">
        <f>IF(B90="","",IFERROR(VALUE(INDEX(D_VAL,B90)&amp;""),""))</f>
        <v/>
      </c>
      <c r="F90">
        <f>IF(B90="","",F89+(C90&lt;&gt;C89))</f>
        <v/>
      </c>
      <c r="G90">
        <f>IF(B90="","",F90&amp;"|"&amp;D90)</f>
        <v/>
      </c>
    </row>
    <row r="91">
      <c r="A91" t="n">
        <v>80</v>
      </c>
      <c r="B91">
        <f>IF(A91&lt;=$B$4,$B$3+A91-1,"")</f>
        <v/>
      </c>
      <c r="C91">
        <f>IF(B91="","",INDEX(D_LOT,B91)&amp;"")</f>
        <v/>
      </c>
      <c r="D91">
        <f>IF(B91="","",INDEX(D_SEQ,B91))</f>
        <v/>
      </c>
      <c r="E91">
        <f>IF(B91="","",IFERROR(VALUE(INDEX(D_VAL,B91)&amp;""),""))</f>
        <v/>
      </c>
      <c r="F91">
        <f>IF(B91="","",F90+(C91&lt;&gt;C90))</f>
        <v/>
      </c>
      <c r="G91">
        <f>IF(B91="","",F91&amp;"|"&amp;D91)</f>
        <v/>
      </c>
    </row>
    <row r="92">
      <c r="A92" t="n">
        <v>81</v>
      </c>
      <c r="B92">
        <f>IF(A92&lt;=$B$4,$B$3+A92-1,"")</f>
        <v/>
      </c>
      <c r="C92">
        <f>IF(B92="","",INDEX(D_LOT,B92)&amp;"")</f>
        <v/>
      </c>
      <c r="D92">
        <f>IF(B92="","",INDEX(D_SEQ,B92))</f>
        <v/>
      </c>
      <c r="E92">
        <f>IF(B92="","",IFERROR(VALUE(INDEX(D_VAL,B92)&amp;""),""))</f>
        <v/>
      </c>
      <c r="F92">
        <f>IF(B92="","",F91+(C92&lt;&gt;C91))</f>
        <v/>
      </c>
      <c r="G92">
        <f>IF(B92="","",F92&amp;"|"&amp;D92)</f>
        <v/>
      </c>
    </row>
    <row r="93">
      <c r="A93" t="n">
        <v>82</v>
      </c>
      <c r="B93">
        <f>IF(A93&lt;=$B$4,$B$3+A93-1,"")</f>
        <v/>
      </c>
      <c r="C93">
        <f>IF(B93="","",INDEX(D_LOT,B93)&amp;"")</f>
        <v/>
      </c>
      <c r="D93">
        <f>IF(B93="","",INDEX(D_SEQ,B93))</f>
        <v/>
      </c>
      <c r="E93">
        <f>IF(B93="","",IFERROR(VALUE(INDEX(D_VAL,B93)&amp;""),""))</f>
        <v/>
      </c>
      <c r="F93">
        <f>IF(B93="","",F92+(C93&lt;&gt;C92))</f>
        <v/>
      </c>
      <c r="G93">
        <f>IF(B93="","",F93&amp;"|"&amp;D93)</f>
        <v/>
      </c>
    </row>
    <row r="94">
      <c r="A94" t="n">
        <v>83</v>
      </c>
      <c r="B94">
        <f>IF(A94&lt;=$B$4,$B$3+A94-1,"")</f>
        <v/>
      </c>
      <c r="C94">
        <f>IF(B94="","",INDEX(D_LOT,B94)&amp;"")</f>
        <v/>
      </c>
      <c r="D94">
        <f>IF(B94="","",INDEX(D_SEQ,B94))</f>
        <v/>
      </c>
      <c r="E94">
        <f>IF(B94="","",IFERROR(VALUE(INDEX(D_VAL,B94)&amp;""),""))</f>
        <v/>
      </c>
      <c r="F94">
        <f>IF(B94="","",F93+(C94&lt;&gt;C93))</f>
        <v/>
      </c>
      <c r="G94">
        <f>IF(B94="","",F94&amp;"|"&amp;D94)</f>
        <v/>
      </c>
    </row>
    <row r="95">
      <c r="A95" t="n">
        <v>84</v>
      </c>
      <c r="B95">
        <f>IF(A95&lt;=$B$4,$B$3+A95-1,"")</f>
        <v/>
      </c>
      <c r="C95">
        <f>IF(B95="","",INDEX(D_LOT,B95)&amp;"")</f>
        <v/>
      </c>
      <c r="D95">
        <f>IF(B95="","",INDEX(D_SEQ,B95))</f>
        <v/>
      </c>
      <c r="E95">
        <f>IF(B95="","",IFERROR(VALUE(INDEX(D_VAL,B95)&amp;""),""))</f>
        <v/>
      </c>
      <c r="F95">
        <f>IF(B95="","",F94+(C95&lt;&gt;C94))</f>
        <v/>
      </c>
      <c r="G95">
        <f>IF(B95="","",F95&amp;"|"&amp;D95)</f>
        <v/>
      </c>
    </row>
    <row r="96">
      <c r="A96" t="n">
        <v>85</v>
      </c>
      <c r="B96">
        <f>IF(A96&lt;=$B$4,$B$3+A96-1,"")</f>
        <v/>
      </c>
      <c r="C96">
        <f>IF(B96="","",INDEX(D_LOT,B96)&amp;"")</f>
        <v/>
      </c>
      <c r="D96">
        <f>IF(B96="","",INDEX(D_SEQ,B96))</f>
        <v/>
      </c>
      <c r="E96">
        <f>IF(B96="","",IFERROR(VALUE(INDEX(D_VAL,B96)&amp;""),""))</f>
        <v/>
      </c>
      <c r="F96">
        <f>IF(B96="","",F95+(C96&lt;&gt;C95))</f>
        <v/>
      </c>
      <c r="G96">
        <f>IF(B96="","",F96&amp;"|"&amp;D96)</f>
        <v/>
      </c>
    </row>
    <row r="97">
      <c r="A97" t="n">
        <v>86</v>
      </c>
      <c r="B97">
        <f>IF(A97&lt;=$B$4,$B$3+A97-1,"")</f>
        <v/>
      </c>
      <c r="C97">
        <f>IF(B97="","",INDEX(D_LOT,B97)&amp;"")</f>
        <v/>
      </c>
      <c r="D97">
        <f>IF(B97="","",INDEX(D_SEQ,B97))</f>
        <v/>
      </c>
      <c r="E97">
        <f>IF(B97="","",IFERROR(VALUE(INDEX(D_VAL,B97)&amp;""),""))</f>
        <v/>
      </c>
      <c r="F97">
        <f>IF(B97="","",F96+(C97&lt;&gt;C96))</f>
        <v/>
      </c>
      <c r="G97">
        <f>IF(B97="","",F97&amp;"|"&amp;D97)</f>
        <v/>
      </c>
    </row>
    <row r="98">
      <c r="A98" t="n">
        <v>87</v>
      </c>
      <c r="B98">
        <f>IF(A98&lt;=$B$4,$B$3+A98-1,"")</f>
        <v/>
      </c>
      <c r="C98">
        <f>IF(B98="","",INDEX(D_LOT,B98)&amp;"")</f>
        <v/>
      </c>
      <c r="D98">
        <f>IF(B98="","",INDEX(D_SEQ,B98))</f>
        <v/>
      </c>
      <c r="E98">
        <f>IF(B98="","",IFERROR(VALUE(INDEX(D_VAL,B98)&amp;""),""))</f>
        <v/>
      </c>
      <c r="F98">
        <f>IF(B98="","",F97+(C98&lt;&gt;C97))</f>
        <v/>
      </c>
      <c r="G98">
        <f>IF(B98="","",F98&amp;"|"&amp;D98)</f>
        <v/>
      </c>
    </row>
    <row r="99">
      <c r="A99" t="n">
        <v>88</v>
      </c>
      <c r="B99">
        <f>IF(A99&lt;=$B$4,$B$3+A99-1,"")</f>
        <v/>
      </c>
      <c r="C99">
        <f>IF(B99="","",INDEX(D_LOT,B99)&amp;"")</f>
        <v/>
      </c>
      <c r="D99">
        <f>IF(B99="","",INDEX(D_SEQ,B99))</f>
        <v/>
      </c>
      <c r="E99">
        <f>IF(B99="","",IFERROR(VALUE(INDEX(D_VAL,B99)&amp;""),""))</f>
        <v/>
      </c>
      <c r="F99">
        <f>IF(B99="","",F98+(C99&lt;&gt;C98))</f>
        <v/>
      </c>
      <c r="G99">
        <f>IF(B99="","",F99&amp;"|"&amp;D99)</f>
        <v/>
      </c>
    </row>
    <row r="100">
      <c r="A100" t="n">
        <v>89</v>
      </c>
      <c r="B100">
        <f>IF(A100&lt;=$B$4,$B$3+A100-1,"")</f>
        <v/>
      </c>
      <c r="C100">
        <f>IF(B100="","",INDEX(D_LOT,B100)&amp;"")</f>
        <v/>
      </c>
      <c r="D100">
        <f>IF(B100="","",INDEX(D_SEQ,B100))</f>
        <v/>
      </c>
      <c r="E100">
        <f>IF(B100="","",IFERROR(VALUE(INDEX(D_VAL,B100)&amp;""),""))</f>
        <v/>
      </c>
      <c r="F100">
        <f>IF(B100="","",F99+(C100&lt;&gt;C99))</f>
        <v/>
      </c>
      <c r="G100">
        <f>IF(B100="","",F100&amp;"|"&amp;D100)</f>
        <v/>
      </c>
    </row>
    <row r="101">
      <c r="A101" t="n">
        <v>90</v>
      </c>
      <c r="B101">
        <f>IF(A101&lt;=$B$4,$B$3+A101-1,"")</f>
        <v/>
      </c>
      <c r="C101">
        <f>IF(B101="","",INDEX(D_LOT,B101)&amp;"")</f>
        <v/>
      </c>
      <c r="D101">
        <f>IF(B101="","",INDEX(D_SEQ,B101))</f>
        <v/>
      </c>
      <c r="E101">
        <f>IF(B101="","",IFERROR(VALUE(INDEX(D_VAL,B101)&amp;""),""))</f>
        <v/>
      </c>
      <c r="F101">
        <f>IF(B101="","",F100+(C101&lt;&gt;C100))</f>
        <v/>
      </c>
      <c r="G101">
        <f>IF(B101="","",F101&amp;"|"&amp;D101)</f>
        <v/>
      </c>
    </row>
    <row r="102">
      <c r="A102" t="n">
        <v>91</v>
      </c>
      <c r="B102">
        <f>IF(A102&lt;=$B$4,$B$3+A102-1,"")</f>
        <v/>
      </c>
      <c r="C102">
        <f>IF(B102="","",INDEX(D_LOT,B102)&amp;"")</f>
        <v/>
      </c>
      <c r="D102">
        <f>IF(B102="","",INDEX(D_SEQ,B102))</f>
        <v/>
      </c>
      <c r="E102">
        <f>IF(B102="","",IFERROR(VALUE(INDEX(D_VAL,B102)&amp;""),""))</f>
        <v/>
      </c>
      <c r="F102">
        <f>IF(B102="","",F101+(C102&lt;&gt;C101))</f>
        <v/>
      </c>
      <c r="G102">
        <f>IF(B102="","",F102&amp;"|"&amp;D102)</f>
        <v/>
      </c>
    </row>
    <row r="103">
      <c r="A103" t="n">
        <v>92</v>
      </c>
      <c r="B103">
        <f>IF(A103&lt;=$B$4,$B$3+A103-1,"")</f>
        <v/>
      </c>
      <c r="C103">
        <f>IF(B103="","",INDEX(D_LOT,B103)&amp;"")</f>
        <v/>
      </c>
      <c r="D103">
        <f>IF(B103="","",INDEX(D_SEQ,B103))</f>
        <v/>
      </c>
      <c r="E103">
        <f>IF(B103="","",IFERROR(VALUE(INDEX(D_VAL,B103)&amp;""),""))</f>
        <v/>
      </c>
      <c r="F103">
        <f>IF(B103="","",F102+(C103&lt;&gt;C102))</f>
        <v/>
      </c>
      <c r="G103">
        <f>IF(B103="","",F103&amp;"|"&amp;D103)</f>
        <v/>
      </c>
    </row>
    <row r="104">
      <c r="A104" t="n">
        <v>93</v>
      </c>
      <c r="B104">
        <f>IF(A104&lt;=$B$4,$B$3+A104-1,"")</f>
        <v/>
      </c>
      <c r="C104">
        <f>IF(B104="","",INDEX(D_LOT,B104)&amp;"")</f>
        <v/>
      </c>
      <c r="D104">
        <f>IF(B104="","",INDEX(D_SEQ,B104))</f>
        <v/>
      </c>
      <c r="E104">
        <f>IF(B104="","",IFERROR(VALUE(INDEX(D_VAL,B104)&amp;""),""))</f>
        <v/>
      </c>
      <c r="F104">
        <f>IF(B104="","",F103+(C104&lt;&gt;C103))</f>
        <v/>
      </c>
      <c r="G104">
        <f>IF(B104="","",F104&amp;"|"&amp;D104)</f>
        <v/>
      </c>
    </row>
    <row r="105">
      <c r="A105" t="n">
        <v>94</v>
      </c>
      <c r="B105">
        <f>IF(A105&lt;=$B$4,$B$3+A105-1,"")</f>
        <v/>
      </c>
      <c r="C105">
        <f>IF(B105="","",INDEX(D_LOT,B105)&amp;"")</f>
        <v/>
      </c>
      <c r="D105">
        <f>IF(B105="","",INDEX(D_SEQ,B105))</f>
        <v/>
      </c>
      <c r="E105">
        <f>IF(B105="","",IFERROR(VALUE(INDEX(D_VAL,B105)&amp;""),""))</f>
        <v/>
      </c>
      <c r="F105">
        <f>IF(B105="","",F104+(C105&lt;&gt;C104))</f>
        <v/>
      </c>
      <c r="G105">
        <f>IF(B105="","",F105&amp;"|"&amp;D105)</f>
        <v/>
      </c>
    </row>
    <row r="106">
      <c r="A106" t="n">
        <v>95</v>
      </c>
      <c r="B106">
        <f>IF(A106&lt;=$B$4,$B$3+A106-1,"")</f>
        <v/>
      </c>
      <c r="C106">
        <f>IF(B106="","",INDEX(D_LOT,B106)&amp;"")</f>
        <v/>
      </c>
      <c r="D106">
        <f>IF(B106="","",INDEX(D_SEQ,B106))</f>
        <v/>
      </c>
      <c r="E106">
        <f>IF(B106="","",IFERROR(VALUE(INDEX(D_VAL,B106)&amp;""),""))</f>
        <v/>
      </c>
      <c r="F106">
        <f>IF(B106="","",F105+(C106&lt;&gt;C105))</f>
        <v/>
      </c>
      <c r="G106">
        <f>IF(B106="","",F106&amp;"|"&amp;D106)</f>
        <v/>
      </c>
    </row>
    <row r="107">
      <c r="A107" t="n">
        <v>96</v>
      </c>
      <c r="B107">
        <f>IF(A107&lt;=$B$4,$B$3+A107-1,"")</f>
        <v/>
      </c>
      <c r="C107">
        <f>IF(B107="","",INDEX(D_LOT,B107)&amp;"")</f>
        <v/>
      </c>
      <c r="D107">
        <f>IF(B107="","",INDEX(D_SEQ,B107))</f>
        <v/>
      </c>
      <c r="E107">
        <f>IF(B107="","",IFERROR(VALUE(INDEX(D_VAL,B107)&amp;""),""))</f>
        <v/>
      </c>
      <c r="F107">
        <f>IF(B107="","",F106+(C107&lt;&gt;C106))</f>
        <v/>
      </c>
      <c r="G107">
        <f>IF(B107="","",F107&amp;"|"&amp;D107)</f>
        <v/>
      </c>
    </row>
    <row r="108">
      <c r="A108" t="n">
        <v>97</v>
      </c>
      <c r="B108">
        <f>IF(A108&lt;=$B$4,$B$3+A108-1,"")</f>
        <v/>
      </c>
      <c r="C108">
        <f>IF(B108="","",INDEX(D_LOT,B108)&amp;"")</f>
        <v/>
      </c>
      <c r="D108">
        <f>IF(B108="","",INDEX(D_SEQ,B108))</f>
        <v/>
      </c>
      <c r="E108">
        <f>IF(B108="","",IFERROR(VALUE(INDEX(D_VAL,B108)&amp;""),""))</f>
        <v/>
      </c>
      <c r="F108">
        <f>IF(B108="","",F107+(C108&lt;&gt;C107))</f>
        <v/>
      </c>
      <c r="G108">
        <f>IF(B108="","",F108&amp;"|"&amp;D108)</f>
        <v/>
      </c>
    </row>
    <row r="109">
      <c r="A109" t="n">
        <v>98</v>
      </c>
      <c r="B109">
        <f>IF(A109&lt;=$B$4,$B$3+A109-1,"")</f>
        <v/>
      </c>
      <c r="C109">
        <f>IF(B109="","",INDEX(D_LOT,B109)&amp;"")</f>
        <v/>
      </c>
      <c r="D109">
        <f>IF(B109="","",INDEX(D_SEQ,B109))</f>
        <v/>
      </c>
      <c r="E109">
        <f>IF(B109="","",IFERROR(VALUE(INDEX(D_VAL,B109)&amp;""),""))</f>
        <v/>
      </c>
      <c r="F109">
        <f>IF(B109="","",F108+(C109&lt;&gt;C108))</f>
        <v/>
      </c>
      <c r="G109">
        <f>IF(B109="","",F109&amp;"|"&amp;D109)</f>
        <v/>
      </c>
    </row>
    <row r="110">
      <c r="A110" t="n">
        <v>99</v>
      </c>
      <c r="B110">
        <f>IF(A110&lt;=$B$4,$B$3+A110-1,"")</f>
        <v/>
      </c>
      <c r="C110">
        <f>IF(B110="","",INDEX(D_LOT,B110)&amp;"")</f>
        <v/>
      </c>
      <c r="D110">
        <f>IF(B110="","",INDEX(D_SEQ,B110))</f>
        <v/>
      </c>
      <c r="E110">
        <f>IF(B110="","",IFERROR(VALUE(INDEX(D_VAL,B110)&amp;""),""))</f>
        <v/>
      </c>
      <c r="F110">
        <f>IF(B110="","",F109+(C110&lt;&gt;C109))</f>
        <v/>
      </c>
      <c r="G110">
        <f>IF(B110="","",F110&amp;"|"&amp;D110)</f>
        <v/>
      </c>
    </row>
    <row r="111">
      <c r="A111" t="n">
        <v>100</v>
      </c>
      <c r="B111">
        <f>IF(A111&lt;=$B$4,$B$3+A111-1,"")</f>
        <v/>
      </c>
      <c r="C111">
        <f>IF(B111="","",INDEX(D_LOT,B111)&amp;"")</f>
        <v/>
      </c>
      <c r="D111">
        <f>IF(B111="","",INDEX(D_SEQ,B111))</f>
        <v/>
      </c>
      <c r="E111">
        <f>IF(B111="","",IFERROR(VALUE(INDEX(D_VAL,B111)&amp;""),""))</f>
        <v/>
      </c>
      <c r="F111">
        <f>IF(B111="","",F110+(C111&lt;&gt;C110))</f>
        <v/>
      </c>
      <c r="G111">
        <f>IF(B111="","",F111&amp;"|"&amp;D111)</f>
        <v/>
      </c>
    </row>
    <row r="112">
      <c r="A112" t="n">
        <v>101</v>
      </c>
      <c r="B112">
        <f>IF(A112&lt;=$B$4,$B$3+A112-1,"")</f>
        <v/>
      </c>
      <c r="C112">
        <f>IF(B112="","",INDEX(D_LOT,B112)&amp;"")</f>
        <v/>
      </c>
      <c r="D112">
        <f>IF(B112="","",INDEX(D_SEQ,B112))</f>
        <v/>
      </c>
      <c r="E112">
        <f>IF(B112="","",IFERROR(VALUE(INDEX(D_VAL,B112)&amp;""),""))</f>
        <v/>
      </c>
      <c r="F112">
        <f>IF(B112="","",F111+(C112&lt;&gt;C111))</f>
        <v/>
      </c>
      <c r="G112">
        <f>IF(B112="","",F112&amp;"|"&amp;D112)</f>
        <v/>
      </c>
    </row>
    <row r="113">
      <c r="A113" t="n">
        <v>102</v>
      </c>
      <c r="B113">
        <f>IF(A113&lt;=$B$4,$B$3+A113-1,"")</f>
        <v/>
      </c>
      <c r="C113">
        <f>IF(B113="","",INDEX(D_LOT,B113)&amp;"")</f>
        <v/>
      </c>
      <c r="D113">
        <f>IF(B113="","",INDEX(D_SEQ,B113))</f>
        <v/>
      </c>
      <c r="E113">
        <f>IF(B113="","",IFERROR(VALUE(INDEX(D_VAL,B113)&amp;""),""))</f>
        <v/>
      </c>
      <c r="F113">
        <f>IF(B113="","",F112+(C113&lt;&gt;C112))</f>
        <v/>
      </c>
      <c r="G113">
        <f>IF(B113="","",F113&amp;"|"&amp;D113)</f>
        <v/>
      </c>
    </row>
    <row r="114">
      <c r="A114" t="n">
        <v>103</v>
      </c>
      <c r="B114">
        <f>IF(A114&lt;=$B$4,$B$3+A114-1,"")</f>
        <v/>
      </c>
      <c r="C114">
        <f>IF(B114="","",INDEX(D_LOT,B114)&amp;"")</f>
        <v/>
      </c>
      <c r="D114">
        <f>IF(B114="","",INDEX(D_SEQ,B114))</f>
        <v/>
      </c>
      <c r="E114">
        <f>IF(B114="","",IFERROR(VALUE(INDEX(D_VAL,B114)&amp;""),""))</f>
        <v/>
      </c>
      <c r="F114">
        <f>IF(B114="","",F113+(C114&lt;&gt;C113))</f>
        <v/>
      </c>
      <c r="G114">
        <f>IF(B114="","",F114&amp;"|"&amp;D114)</f>
        <v/>
      </c>
    </row>
    <row r="115">
      <c r="A115" t="n">
        <v>104</v>
      </c>
      <c r="B115">
        <f>IF(A115&lt;=$B$4,$B$3+A115-1,"")</f>
        <v/>
      </c>
      <c r="C115">
        <f>IF(B115="","",INDEX(D_LOT,B115)&amp;"")</f>
        <v/>
      </c>
      <c r="D115">
        <f>IF(B115="","",INDEX(D_SEQ,B115))</f>
        <v/>
      </c>
      <c r="E115">
        <f>IF(B115="","",IFERROR(VALUE(INDEX(D_VAL,B115)&amp;""),""))</f>
        <v/>
      </c>
      <c r="F115">
        <f>IF(B115="","",F114+(C115&lt;&gt;C114))</f>
        <v/>
      </c>
      <c r="G115">
        <f>IF(B115="","",F115&amp;"|"&amp;D115)</f>
        <v/>
      </c>
    </row>
    <row r="116">
      <c r="A116" t="n">
        <v>105</v>
      </c>
      <c r="B116">
        <f>IF(A116&lt;=$B$4,$B$3+A116-1,"")</f>
        <v/>
      </c>
      <c r="C116">
        <f>IF(B116="","",INDEX(D_LOT,B116)&amp;"")</f>
        <v/>
      </c>
      <c r="D116">
        <f>IF(B116="","",INDEX(D_SEQ,B116))</f>
        <v/>
      </c>
      <c r="E116">
        <f>IF(B116="","",IFERROR(VALUE(INDEX(D_VAL,B116)&amp;""),""))</f>
        <v/>
      </c>
      <c r="F116">
        <f>IF(B116="","",F115+(C116&lt;&gt;C115))</f>
        <v/>
      </c>
      <c r="G116">
        <f>IF(B116="","",F116&amp;"|"&amp;D116)</f>
        <v/>
      </c>
    </row>
    <row r="117">
      <c r="A117" t="n">
        <v>106</v>
      </c>
      <c r="B117">
        <f>IF(A117&lt;=$B$4,$B$3+A117-1,"")</f>
        <v/>
      </c>
      <c r="C117">
        <f>IF(B117="","",INDEX(D_LOT,B117)&amp;"")</f>
        <v/>
      </c>
      <c r="D117">
        <f>IF(B117="","",INDEX(D_SEQ,B117))</f>
        <v/>
      </c>
      <c r="E117">
        <f>IF(B117="","",IFERROR(VALUE(INDEX(D_VAL,B117)&amp;""),""))</f>
        <v/>
      </c>
      <c r="F117">
        <f>IF(B117="","",F116+(C117&lt;&gt;C116))</f>
        <v/>
      </c>
      <c r="G117">
        <f>IF(B117="","",F117&amp;"|"&amp;D117)</f>
        <v/>
      </c>
    </row>
    <row r="118">
      <c r="A118" t="n">
        <v>107</v>
      </c>
      <c r="B118">
        <f>IF(A118&lt;=$B$4,$B$3+A118-1,"")</f>
        <v/>
      </c>
      <c r="C118">
        <f>IF(B118="","",INDEX(D_LOT,B118)&amp;"")</f>
        <v/>
      </c>
      <c r="D118">
        <f>IF(B118="","",INDEX(D_SEQ,B118))</f>
        <v/>
      </c>
      <c r="E118">
        <f>IF(B118="","",IFERROR(VALUE(INDEX(D_VAL,B118)&amp;""),""))</f>
        <v/>
      </c>
      <c r="F118">
        <f>IF(B118="","",F117+(C118&lt;&gt;C117))</f>
        <v/>
      </c>
      <c r="G118">
        <f>IF(B118="","",F118&amp;"|"&amp;D118)</f>
        <v/>
      </c>
    </row>
    <row r="119">
      <c r="A119" t="n">
        <v>108</v>
      </c>
      <c r="B119">
        <f>IF(A119&lt;=$B$4,$B$3+A119-1,"")</f>
        <v/>
      </c>
      <c r="C119">
        <f>IF(B119="","",INDEX(D_LOT,B119)&amp;"")</f>
        <v/>
      </c>
      <c r="D119">
        <f>IF(B119="","",INDEX(D_SEQ,B119))</f>
        <v/>
      </c>
      <c r="E119">
        <f>IF(B119="","",IFERROR(VALUE(INDEX(D_VAL,B119)&amp;""),""))</f>
        <v/>
      </c>
      <c r="F119">
        <f>IF(B119="","",F118+(C119&lt;&gt;C118))</f>
        <v/>
      </c>
      <c r="G119">
        <f>IF(B119="","",F119&amp;"|"&amp;D119)</f>
        <v/>
      </c>
    </row>
    <row r="120">
      <c r="A120" t="n">
        <v>109</v>
      </c>
      <c r="B120">
        <f>IF(A120&lt;=$B$4,$B$3+A120-1,"")</f>
        <v/>
      </c>
      <c r="C120">
        <f>IF(B120="","",INDEX(D_LOT,B120)&amp;"")</f>
        <v/>
      </c>
      <c r="D120">
        <f>IF(B120="","",INDEX(D_SEQ,B120))</f>
        <v/>
      </c>
      <c r="E120">
        <f>IF(B120="","",IFERROR(VALUE(INDEX(D_VAL,B120)&amp;""),""))</f>
        <v/>
      </c>
      <c r="F120">
        <f>IF(B120="","",F119+(C120&lt;&gt;C119))</f>
        <v/>
      </c>
      <c r="G120">
        <f>IF(B120="","",F120&amp;"|"&amp;D120)</f>
        <v/>
      </c>
    </row>
    <row r="121">
      <c r="A121" t="n">
        <v>110</v>
      </c>
      <c r="B121">
        <f>IF(A121&lt;=$B$4,$B$3+A121-1,"")</f>
        <v/>
      </c>
      <c r="C121">
        <f>IF(B121="","",INDEX(D_LOT,B121)&amp;"")</f>
        <v/>
      </c>
      <c r="D121">
        <f>IF(B121="","",INDEX(D_SEQ,B121))</f>
        <v/>
      </c>
      <c r="E121">
        <f>IF(B121="","",IFERROR(VALUE(INDEX(D_VAL,B121)&amp;""),""))</f>
        <v/>
      </c>
      <c r="F121">
        <f>IF(B121="","",F120+(C121&lt;&gt;C120))</f>
        <v/>
      </c>
      <c r="G121">
        <f>IF(B121="","",F121&amp;"|"&amp;D121)</f>
        <v/>
      </c>
    </row>
    <row r="122">
      <c r="A122" t="n">
        <v>111</v>
      </c>
      <c r="B122">
        <f>IF(A122&lt;=$B$4,$B$3+A122-1,"")</f>
        <v/>
      </c>
      <c r="C122">
        <f>IF(B122="","",INDEX(D_LOT,B122)&amp;"")</f>
        <v/>
      </c>
      <c r="D122">
        <f>IF(B122="","",INDEX(D_SEQ,B122))</f>
        <v/>
      </c>
      <c r="E122">
        <f>IF(B122="","",IFERROR(VALUE(INDEX(D_VAL,B122)&amp;""),""))</f>
        <v/>
      </c>
      <c r="F122">
        <f>IF(B122="","",F121+(C122&lt;&gt;C121))</f>
        <v/>
      </c>
      <c r="G122">
        <f>IF(B122="","",F122&amp;"|"&amp;D122)</f>
        <v/>
      </c>
    </row>
    <row r="123">
      <c r="A123" t="n">
        <v>112</v>
      </c>
      <c r="B123">
        <f>IF(A123&lt;=$B$4,$B$3+A123-1,"")</f>
        <v/>
      </c>
      <c r="C123">
        <f>IF(B123="","",INDEX(D_LOT,B123)&amp;"")</f>
        <v/>
      </c>
      <c r="D123">
        <f>IF(B123="","",INDEX(D_SEQ,B123))</f>
        <v/>
      </c>
      <c r="E123">
        <f>IF(B123="","",IFERROR(VALUE(INDEX(D_VAL,B123)&amp;""),""))</f>
        <v/>
      </c>
      <c r="F123">
        <f>IF(B123="","",F122+(C123&lt;&gt;C122))</f>
        <v/>
      </c>
      <c r="G123">
        <f>IF(B123="","",F123&amp;"|"&amp;D123)</f>
        <v/>
      </c>
    </row>
    <row r="124">
      <c r="A124" t="n">
        <v>113</v>
      </c>
      <c r="B124">
        <f>IF(A124&lt;=$B$4,$B$3+A124-1,"")</f>
        <v/>
      </c>
      <c r="C124">
        <f>IF(B124="","",INDEX(D_LOT,B124)&amp;"")</f>
        <v/>
      </c>
      <c r="D124">
        <f>IF(B124="","",INDEX(D_SEQ,B124))</f>
        <v/>
      </c>
      <c r="E124">
        <f>IF(B124="","",IFERROR(VALUE(INDEX(D_VAL,B124)&amp;""),""))</f>
        <v/>
      </c>
      <c r="F124">
        <f>IF(B124="","",F123+(C124&lt;&gt;C123))</f>
        <v/>
      </c>
      <c r="G124">
        <f>IF(B124="","",F124&amp;"|"&amp;D124)</f>
        <v/>
      </c>
    </row>
    <row r="125">
      <c r="A125" t="n">
        <v>114</v>
      </c>
      <c r="B125">
        <f>IF(A125&lt;=$B$4,$B$3+A125-1,"")</f>
        <v/>
      </c>
      <c r="C125">
        <f>IF(B125="","",INDEX(D_LOT,B125)&amp;"")</f>
        <v/>
      </c>
      <c r="D125">
        <f>IF(B125="","",INDEX(D_SEQ,B125))</f>
        <v/>
      </c>
      <c r="E125">
        <f>IF(B125="","",IFERROR(VALUE(INDEX(D_VAL,B125)&amp;""),""))</f>
        <v/>
      </c>
      <c r="F125">
        <f>IF(B125="","",F124+(C125&lt;&gt;C124))</f>
        <v/>
      </c>
      <c r="G125">
        <f>IF(B125="","",F125&amp;"|"&amp;D125)</f>
        <v/>
      </c>
    </row>
    <row r="126">
      <c r="A126" t="n">
        <v>115</v>
      </c>
      <c r="B126">
        <f>IF(A126&lt;=$B$4,$B$3+A126-1,"")</f>
        <v/>
      </c>
      <c r="C126">
        <f>IF(B126="","",INDEX(D_LOT,B126)&amp;"")</f>
        <v/>
      </c>
      <c r="D126">
        <f>IF(B126="","",INDEX(D_SEQ,B126))</f>
        <v/>
      </c>
      <c r="E126">
        <f>IF(B126="","",IFERROR(VALUE(INDEX(D_VAL,B126)&amp;""),""))</f>
        <v/>
      </c>
      <c r="F126">
        <f>IF(B126="","",F125+(C126&lt;&gt;C125))</f>
        <v/>
      </c>
      <c r="G126">
        <f>IF(B126="","",F126&amp;"|"&amp;D126)</f>
        <v/>
      </c>
    </row>
    <row r="127">
      <c r="A127" t="n">
        <v>116</v>
      </c>
      <c r="B127">
        <f>IF(A127&lt;=$B$4,$B$3+A127-1,"")</f>
        <v/>
      </c>
      <c r="C127">
        <f>IF(B127="","",INDEX(D_LOT,B127)&amp;"")</f>
        <v/>
      </c>
      <c r="D127">
        <f>IF(B127="","",INDEX(D_SEQ,B127))</f>
        <v/>
      </c>
      <c r="E127">
        <f>IF(B127="","",IFERROR(VALUE(INDEX(D_VAL,B127)&amp;""),""))</f>
        <v/>
      </c>
      <c r="F127">
        <f>IF(B127="","",F126+(C127&lt;&gt;C126))</f>
        <v/>
      </c>
      <c r="G127">
        <f>IF(B127="","",F127&amp;"|"&amp;D127)</f>
        <v/>
      </c>
    </row>
    <row r="128">
      <c r="A128" t="n">
        <v>117</v>
      </c>
      <c r="B128">
        <f>IF(A128&lt;=$B$4,$B$3+A128-1,"")</f>
        <v/>
      </c>
      <c r="C128">
        <f>IF(B128="","",INDEX(D_LOT,B128)&amp;"")</f>
        <v/>
      </c>
      <c r="D128">
        <f>IF(B128="","",INDEX(D_SEQ,B128))</f>
        <v/>
      </c>
      <c r="E128">
        <f>IF(B128="","",IFERROR(VALUE(INDEX(D_VAL,B128)&amp;""),""))</f>
        <v/>
      </c>
      <c r="F128">
        <f>IF(B128="","",F127+(C128&lt;&gt;C127))</f>
        <v/>
      </c>
      <c r="G128">
        <f>IF(B128="","",F128&amp;"|"&amp;D128)</f>
        <v/>
      </c>
    </row>
    <row r="129">
      <c r="A129" t="n">
        <v>118</v>
      </c>
      <c r="B129">
        <f>IF(A129&lt;=$B$4,$B$3+A129-1,"")</f>
        <v/>
      </c>
      <c r="C129">
        <f>IF(B129="","",INDEX(D_LOT,B129)&amp;"")</f>
        <v/>
      </c>
      <c r="D129">
        <f>IF(B129="","",INDEX(D_SEQ,B129))</f>
        <v/>
      </c>
      <c r="E129">
        <f>IF(B129="","",IFERROR(VALUE(INDEX(D_VAL,B129)&amp;""),""))</f>
        <v/>
      </c>
      <c r="F129">
        <f>IF(B129="","",F128+(C129&lt;&gt;C128))</f>
        <v/>
      </c>
      <c r="G129">
        <f>IF(B129="","",F129&amp;"|"&amp;D129)</f>
        <v/>
      </c>
    </row>
    <row r="130">
      <c r="A130" t="n">
        <v>119</v>
      </c>
      <c r="B130">
        <f>IF(A130&lt;=$B$4,$B$3+A130-1,"")</f>
        <v/>
      </c>
      <c r="C130">
        <f>IF(B130="","",INDEX(D_LOT,B130)&amp;"")</f>
        <v/>
      </c>
      <c r="D130">
        <f>IF(B130="","",INDEX(D_SEQ,B130))</f>
        <v/>
      </c>
      <c r="E130">
        <f>IF(B130="","",IFERROR(VALUE(INDEX(D_VAL,B130)&amp;""),""))</f>
        <v/>
      </c>
      <c r="F130">
        <f>IF(B130="","",F129+(C130&lt;&gt;C129))</f>
        <v/>
      </c>
      <c r="G130">
        <f>IF(B130="","",F130&amp;"|"&amp;D130)</f>
        <v/>
      </c>
    </row>
    <row r="131">
      <c r="A131" t="n">
        <v>120</v>
      </c>
      <c r="B131">
        <f>IF(A131&lt;=$B$4,$B$3+A131-1,"")</f>
        <v/>
      </c>
      <c r="C131">
        <f>IF(B131="","",INDEX(D_LOT,B131)&amp;"")</f>
        <v/>
      </c>
      <c r="D131">
        <f>IF(B131="","",INDEX(D_SEQ,B131))</f>
        <v/>
      </c>
      <c r="E131">
        <f>IF(B131="","",IFERROR(VALUE(INDEX(D_VAL,B131)&amp;""),""))</f>
        <v/>
      </c>
      <c r="F131">
        <f>IF(B131="","",F130+(C131&lt;&gt;C130))</f>
        <v/>
      </c>
      <c r="G131">
        <f>IF(B131="","",F131&amp;"|"&amp;D131)</f>
        <v/>
      </c>
    </row>
    <row r="132">
      <c r="A132" t="n">
        <v>121</v>
      </c>
      <c r="B132">
        <f>IF(A132&lt;=$B$4,$B$3+A132-1,"")</f>
        <v/>
      </c>
      <c r="C132">
        <f>IF(B132="","",INDEX(D_LOT,B132)&amp;"")</f>
        <v/>
      </c>
      <c r="D132">
        <f>IF(B132="","",INDEX(D_SEQ,B132))</f>
        <v/>
      </c>
      <c r="E132">
        <f>IF(B132="","",IFERROR(VALUE(INDEX(D_VAL,B132)&amp;""),""))</f>
        <v/>
      </c>
      <c r="F132">
        <f>IF(B132="","",F131+(C132&lt;&gt;C131))</f>
        <v/>
      </c>
      <c r="G132">
        <f>IF(B132="","",F132&amp;"|"&amp;D132)</f>
        <v/>
      </c>
    </row>
    <row r="133">
      <c r="A133" t="n">
        <v>122</v>
      </c>
      <c r="B133">
        <f>IF(A133&lt;=$B$4,$B$3+A133-1,"")</f>
        <v/>
      </c>
      <c r="C133">
        <f>IF(B133="","",INDEX(D_LOT,B133)&amp;"")</f>
        <v/>
      </c>
      <c r="D133">
        <f>IF(B133="","",INDEX(D_SEQ,B133))</f>
        <v/>
      </c>
      <c r="E133">
        <f>IF(B133="","",IFERROR(VALUE(INDEX(D_VAL,B133)&amp;""),""))</f>
        <v/>
      </c>
      <c r="F133">
        <f>IF(B133="","",F132+(C133&lt;&gt;C132))</f>
        <v/>
      </c>
      <c r="G133">
        <f>IF(B133="","",F133&amp;"|"&amp;D133)</f>
        <v/>
      </c>
    </row>
    <row r="134">
      <c r="A134" t="n">
        <v>123</v>
      </c>
      <c r="B134">
        <f>IF(A134&lt;=$B$4,$B$3+A134-1,"")</f>
        <v/>
      </c>
      <c r="C134">
        <f>IF(B134="","",INDEX(D_LOT,B134)&amp;"")</f>
        <v/>
      </c>
      <c r="D134">
        <f>IF(B134="","",INDEX(D_SEQ,B134))</f>
        <v/>
      </c>
      <c r="E134">
        <f>IF(B134="","",IFERROR(VALUE(INDEX(D_VAL,B134)&amp;""),""))</f>
        <v/>
      </c>
      <c r="F134">
        <f>IF(B134="","",F133+(C134&lt;&gt;C133))</f>
        <v/>
      </c>
      <c r="G134">
        <f>IF(B134="","",F134&amp;"|"&amp;D134)</f>
        <v/>
      </c>
    </row>
    <row r="135">
      <c r="A135" t="n">
        <v>124</v>
      </c>
      <c r="B135">
        <f>IF(A135&lt;=$B$4,$B$3+A135-1,"")</f>
        <v/>
      </c>
      <c r="C135">
        <f>IF(B135="","",INDEX(D_LOT,B135)&amp;"")</f>
        <v/>
      </c>
      <c r="D135">
        <f>IF(B135="","",INDEX(D_SEQ,B135))</f>
        <v/>
      </c>
      <c r="E135">
        <f>IF(B135="","",IFERROR(VALUE(INDEX(D_VAL,B135)&amp;""),""))</f>
        <v/>
      </c>
      <c r="F135">
        <f>IF(B135="","",F134+(C135&lt;&gt;C134))</f>
        <v/>
      </c>
      <c r="G135">
        <f>IF(B135="","",F135&amp;"|"&amp;D135)</f>
        <v/>
      </c>
    </row>
    <row r="136">
      <c r="A136" t="n">
        <v>125</v>
      </c>
      <c r="B136">
        <f>IF(A136&lt;=$B$4,$B$3+A136-1,"")</f>
        <v/>
      </c>
      <c r="C136">
        <f>IF(B136="","",INDEX(D_LOT,B136)&amp;"")</f>
        <v/>
      </c>
      <c r="D136">
        <f>IF(B136="","",INDEX(D_SEQ,B136))</f>
        <v/>
      </c>
      <c r="E136">
        <f>IF(B136="","",IFERROR(VALUE(INDEX(D_VAL,B136)&amp;""),""))</f>
        <v/>
      </c>
      <c r="F136">
        <f>IF(B136="","",F135+(C136&lt;&gt;C135))</f>
        <v/>
      </c>
      <c r="G136">
        <f>IF(B136="","",F136&amp;"|"&amp;D136)</f>
        <v/>
      </c>
    </row>
    <row r="137">
      <c r="A137" t="n">
        <v>126</v>
      </c>
      <c r="B137">
        <f>IF(A137&lt;=$B$4,$B$3+A137-1,"")</f>
        <v/>
      </c>
      <c r="C137">
        <f>IF(B137="","",INDEX(D_LOT,B137)&amp;"")</f>
        <v/>
      </c>
      <c r="D137">
        <f>IF(B137="","",INDEX(D_SEQ,B137))</f>
        <v/>
      </c>
      <c r="E137">
        <f>IF(B137="","",IFERROR(VALUE(INDEX(D_VAL,B137)&amp;""),""))</f>
        <v/>
      </c>
      <c r="F137">
        <f>IF(B137="","",F136+(C137&lt;&gt;C136))</f>
        <v/>
      </c>
      <c r="G137">
        <f>IF(B137="","",F137&amp;"|"&amp;D137)</f>
        <v/>
      </c>
    </row>
    <row r="138">
      <c r="A138" t="n">
        <v>127</v>
      </c>
      <c r="B138">
        <f>IF(A138&lt;=$B$4,$B$3+A138-1,"")</f>
        <v/>
      </c>
      <c r="C138">
        <f>IF(B138="","",INDEX(D_LOT,B138)&amp;"")</f>
        <v/>
      </c>
      <c r="D138">
        <f>IF(B138="","",INDEX(D_SEQ,B138))</f>
        <v/>
      </c>
      <c r="E138">
        <f>IF(B138="","",IFERROR(VALUE(INDEX(D_VAL,B138)&amp;""),""))</f>
        <v/>
      </c>
      <c r="F138">
        <f>IF(B138="","",F137+(C138&lt;&gt;C137))</f>
        <v/>
      </c>
      <c r="G138">
        <f>IF(B138="","",F138&amp;"|"&amp;D138)</f>
        <v/>
      </c>
    </row>
    <row r="139">
      <c r="A139" t="n">
        <v>128</v>
      </c>
      <c r="B139">
        <f>IF(A139&lt;=$B$4,$B$3+A139-1,"")</f>
        <v/>
      </c>
      <c r="C139">
        <f>IF(B139="","",INDEX(D_LOT,B139)&amp;"")</f>
        <v/>
      </c>
      <c r="D139">
        <f>IF(B139="","",INDEX(D_SEQ,B139))</f>
        <v/>
      </c>
      <c r="E139">
        <f>IF(B139="","",IFERROR(VALUE(INDEX(D_VAL,B139)&amp;""),""))</f>
        <v/>
      </c>
      <c r="F139">
        <f>IF(B139="","",F138+(C139&lt;&gt;C138))</f>
        <v/>
      </c>
      <c r="G139">
        <f>IF(B139="","",F139&amp;"|"&amp;D139)</f>
        <v/>
      </c>
    </row>
    <row r="140">
      <c r="A140" t="n">
        <v>129</v>
      </c>
      <c r="B140">
        <f>IF(A140&lt;=$B$4,$B$3+A140-1,"")</f>
        <v/>
      </c>
      <c r="C140">
        <f>IF(B140="","",INDEX(D_LOT,B140)&amp;"")</f>
        <v/>
      </c>
      <c r="D140">
        <f>IF(B140="","",INDEX(D_SEQ,B140))</f>
        <v/>
      </c>
      <c r="E140">
        <f>IF(B140="","",IFERROR(VALUE(INDEX(D_VAL,B140)&amp;""),""))</f>
        <v/>
      </c>
      <c r="F140">
        <f>IF(B140="","",F139+(C140&lt;&gt;C139))</f>
        <v/>
      </c>
      <c r="G140">
        <f>IF(B140="","",F140&amp;"|"&amp;D140)</f>
        <v/>
      </c>
    </row>
    <row r="141">
      <c r="A141" t="n">
        <v>130</v>
      </c>
      <c r="B141">
        <f>IF(A141&lt;=$B$4,$B$3+A141-1,"")</f>
        <v/>
      </c>
      <c r="C141">
        <f>IF(B141="","",INDEX(D_LOT,B141)&amp;"")</f>
        <v/>
      </c>
      <c r="D141">
        <f>IF(B141="","",INDEX(D_SEQ,B141))</f>
        <v/>
      </c>
      <c r="E141">
        <f>IF(B141="","",IFERROR(VALUE(INDEX(D_VAL,B141)&amp;""),""))</f>
        <v/>
      </c>
      <c r="F141">
        <f>IF(B141="","",F140+(C141&lt;&gt;C140))</f>
        <v/>
      </c>
      <c r="G141">
        <f>IF(B141="","",F141&amp;"|"&amp;D141)</f>
        <v/>
      </c>
    </row>
    <row r="142">
      <c r="A142" t="n">
        <v>131</v>
      </c>
      <c r="B142">
        <f>IF(A142&lt;=$B$4,$B$3+A142-1,"")</f>
        <v/>
      </c>
      <c r="C142">
        <f>IF(B142="","",INDEX(D_LOT,B142)&amp;"")</f>
        <v/>
      </c>
      <c r="D142">
        <f>IF(B142="","",INDEX(D_SEQ,B142))</f>
        <v/>
      </c>
      <c r="E142">
        <f>IF(B142="","",IFERROR(VALUE(INDEX(D_VAL,B142)&amp;""),""))</f>
        <v/>
      </c>
      <c r="F142">
        <f>IF(B142="","",F141+(C142&lt;&gt;C141))</f>
        <v/>
      </c>
      <c r="G142">
        <f>IF(B142="","",F142&amp;"|"&amp;D142)</f>
        <v/>
      </c>
    </row>
    <row r="143">
      <c r="A143" t="n">
        <v>132</v>
      </c>
      <c r="B143">
        <f>IF(A143&lt;=$B$4,$B$3+A143-1,"")</f>
        <v/>
      </c>
      <c r="C143">
        <f>IF(B143="","",INDEX(D_LOT,B143)&amp;"")</f>
        <v/>
      </c>
      <c r="D143">
        <f>IF(B143="","",INDEX(D_SEQ,B143))</f>
        <v/>
      </c>
      <c r="E143">
        <f>IF(B143="","",IFERROR(VALUE(INDEX(D_VAL,B143)&amp;""),""))</f>
        <v/>
      </c>
      <c r="F143">
        <f>IF(B143="","",F142+(C143&lt;&gt;C142))</f>
        <v/>
      </c>
      <c r="G143">
        <f>IF(B143="","",F143&amp;"|"&amp;D143)</f>
        <v/>
      </c>
    </row>
    <row r="144">
      <c r="A144" t="n">
        <v>133</v>
      </c>
      <c r="B144">
        <f>IF(A144&lt;=$B$4,$B$3+A144-1,"")</f>
        <v/>
      </c>
      <c r="C144">
        <f>IF(B144="","",INDEX(D_LOT,B144)&amp;"")</f>
        <v/>
      </c>
      <c r="D144">
        <f>IF(B144="","",INDEX(D_SEQ,B144))</f>
        <v/>
      </c>
      <c r="E144">
        <f>IF(B144="","",IFERROR(VALUE(INDEX(D_VAL,B144)&amp;""),""))</f>
        <v/>
      </c>
      <c r="F144">
        <f>IF(B144="","",F143+(C144&lt;&gt;C143))</f>
        <v/>
      </c>
      <c r="G144">
        <f>IF(B144="","",F144&amp;"|"&amp;D144)</f>
        <v/>
      </c>
    </row>
    <row r="145">
      <c r="A145" t="n">
        <v>134</v>
      </c>
      <c r="B145">
        <f>IF(A145&lt;=$B$4,$B$3+A145-1,"")</f>
        <v/>
      </c>
      <c r="C145">
        <f>IF(B145="","",INDEX(D_LOT,B145)&amp;"")</f>
        <v/>
      </c>
      <c r="D145">
        <f>IF(B145="","",INDEX(D_SEQ,B145))</f>
        <v/>
      </c>
      <c r="E145">
        <f>IF(B145="","",IFERROR(VALUE(INDEX(D_VAL,B145)&amp;""),""))</f>
        <v/>
      </c>
      <c r="F145">
        <f>IF(B145="","",F144+(C145&lt;&gt;C144))</f>
        <v/>
      </c>
      <c r="G145">
        <f>IF(B145="","",F145&amp;"|"&amp;D145)</f>
        <v/>
      </c>
    </row>
    <row r="146">
      <c r="A146" t="n">
        <v>135</v>
      </c>
      <c r="B146">
        <f>IF(A146&lt;=$B$4,$B$3+A146-1,"")</f>
        <v/>
      </c>
      <c r="C146">
        <f>IF(B146="","",INDEX(D_LOT,B146)&amp;"")</f>
        <v/>
      </c>
      <c r="D146">
        <f>IF(B146="","",INDEX(D_SEQ,B146))</f>
        <v/>
      </c>
      <c r="E146">
        <f>IF(B146="","",IFERROR(VALUE(INDEX(D_VAL,B146)&amp;""),""))</f>
        <v/>
      </c>
      <c r="F146">
        <f>IF(B146="","",F145+(C146&lt;&gt;C145))</f>
        <v/>
      </c>
      <c r="G146">
        <f>IF(B146="","",F146&amp;"|"&amp;D146)</f>
        <v/>
      </c>
    </row>
    <row r="147">
      <c r="A147" t="n">
        <v>136</v>
      </c>
      <c r="B147">
        <f>IF(A147&lt;=$B$4,$B$3+A147-1,"")</f>
        <v/>
      </c>
      <c r="C147">
        <f>IF(B147="","",INDEX(D_LOT,B147)&amp;"")</f>
        <v/>
      </c>
      <c r="D147">
        <f>IF(B147="","",INDEX(D_SEQ,B147))</f>
        <v/>
      </c>
      <c r="E147">
        <f>IF(B147="","",IFERROR(VALUE(INDEX(D_VAL,B147)&amp;""),""))</f>
        <v/>
      </c>
      <c r="F147">
        <f>IF(B147="","",F146+(C147&lt;&gt;C146))</f>
        <v/>
      </c>
      <c r="G147">
        <f>IF(B147="","",F147&amp;"|"&amp;D147)</f>
        <v/>
      </c>
    </row>
    <row r="148">
      <c r="A148" t="n">
        <v>137</v>
      </c>
      <c r="B148">
        <f>IF(A148&lt;=$B$4,$B$3+A148-1,"")</f>
        <v/>
      </c>
      <c r="C148">
        <f>IF(B148="","",INDEX(D_LOT,B148)&amp;"")</f>
        <v/>
      </c>
      <c r="D148">
        <f>IF(B148="","",INDEX(D_SEQ,B148))</f>
        <v/>
      </c>
      <c r="E148">
        <f>IF(B148="","",IFERROR(VALUE(INDEX(D_VAL,B148)&amp;""),""))</f>
        <v/>
      </c>
      <c r="F148">
        <f>IF(B148="","",F147+(C148&lt;&gt;C147))</f>
        <v/>
      </c>
      <c r="G148">
        <f>IF(B148="","",F148&amp;"|"&amp;D148)</f>
        <v/>
      </c>
    </row>
    <row r="149">
      <c r="A149" t="n">
        <v>138</v>
      </c>
      <c r="B149">
        <f>IF(A149&lt;=$B$4,$B$3+A149-1,"")</f>
        <v/>
      </c>
      <c r="C149">
        <f>IF(B149="","",INDEX(D_LOT,B149)&amp;"")</f>
        <v/>
      </c>
      <c r="D149">
        <f>IF(B149="","",INDEX(D_SEQ,B149))</f>
        <v/>
      </c>
      <c r="E149">
        <f>IF(B149="","",IFERROR(VALUE(INDEX(D_VAL,B149)&amp;""),""))</f>
        <v/>
      </c>
      <c r="F149">
        <f>IF(B149="","",F148+(C149&lt;&gt;C148))</f>
        <v/>
      </c>
      <c r="G149">
        <f>IF(B149="","",F149&amp;"|"&amp;D149)</f>
        <v/>
      </c>
    </row>
    <row r="150">
      <c r="A150" t="n">
        <v>139</v>
      </c>
      <c r="B150">
        <f>IF(A150&lt;=$B$4,$B$3+A150-1,"")</f>
        <v/>
      </c>
      <c r="C150">
        <f>IF(B150="","",INDEX(D_LOT,B150)&amp;"")</f>
        <v/>
      </c>
      <c r="D150">
        <f>IF(B150="","",INDEX(D_SEQ,B150))</f>
        <v/>
      </c>
      <c r="E150">
        <f>IF(B150="","",IFERROR(VALUE(INDEX(D_VAL,B150)&amp;""),""))</f>
        <v/>
      </c>
      <c r="F150">
        <f>IF(B150="","",F149+(C150&lt;&gt;C149))</f>
        <v/>
      </c>
      <c r="G150">
        <f>IF(B150="","",F150&amp;"|"&amp;D150)</f>
        <v/>
      </c>
    </row>
    <row r="151">
      <c r="A151" t="n">
        <v>140</v>
      </c>
      <c r="B151">
        <f>IF(A151&lt;=$B$4,$B$3+A151-1,"")</f>
        <v/>
      </c>
      <c r="C151">
        <f>IF(B151="","",INDEX(D_LOT,B151)&amp;"")</f>
        <v/>
      </c>
      <c r="D151">
        <f>IF(B151="","",INDEX(D_SEQ,B151))</f>
        <v/>
      </c>
      <c r="E151">
        <f>IF(B151="","",IFERROR(VALUE(INDEX(D_VAL,B151)&amp;""),""))</f>
        <v/>
      </c>
      <c r="F151">
        <f>IF(B151="","",F150+(C151&lt;&gt;C150))</f>
        <v/>
      </c>
      <c r="G151">
        <f>IF(B151="","",F151&amp;"|"&amp;D151)</f>
        <v/>
      </c>
    </row>
    <row r="152">
      <c r="A152" t="n">
        <v>141</v>
      </c>
      <c r="B152">
        <f>IF(A152&lt;=$B$4,$B$3+A152-1,"")</f>
        <v/>
      </c>
      <c r="C152">
        <f>IF(B152="","",INDEX(D_LOT,B152)&amp;"")</f>
        <v/>
      </c>
      <c r="D152">
        <f>IF(B152="","",INDEX(D_SEQ,B152))</f>
        <v/>
      </c>
      <c r="E152">
        <f>IF(B152="","",IFERROR(VALUE(INDEX(D_VAL,B152)&amp;""),""))</f>
        <v/>
      </c>
      <c r="F152">
        <f>IF(B152="","",F151+(C152&lt;&gt;C151))</f>
        <v/>
      </c>
      <c r="G152">
        <f>IF(B152="","",F152&amp;"|"&amp;D152)</f>
        <v/>
      </c>
    </row>
    <row r="153">
      <c r="A153" t="n">
        <v>142</v>
      </c>
      <c r="B153">
        <f>IF(A153&lt;=$B$4,$B$3+A153-1,"")</f>
        <v/>
      </c>
      <c r="C153">
        <f>IF(B153="","",INDEX(D_LOT,B153)&amp;"")</f>
        <v/>
      </c>
      <c r="D153">
        <f>IF(B153="","",INDEX(D_SEQ,B153))</f>
        <v/>
      </c>
      <c r="E153">
        <f>IF(B153="","",IFERROR(VALUE(INDEX(D_VAL,B153)&amp;""),""))</f>
        <v/>
      </c>
      <c r="F153">
        <f>IF(B153="","",F152+(C153&lt;&gt;C152))</f>
        <v/>
      </c>
      <c r="G153">
        <f>IF(B153="","",F153&amp;"|"&amp;D153)</f>
        <v/>
      </c>
    </row>
    <row r="154">
      <c r="A154" t="n">
        <v>143</v>
      </c>
      <c r="B154">
        <f>IF(A154&lt;=$B$4,$B$3+A154-1,"")</f>
        <v/>
      </c>
      <c r="C154">
        <f>IF(B154="","",INDEX(D_LOT,B154)&amp;"")</f>
        <v/>
      </c>
      <c r="D154">
        <f>IF(B154="","",INDEX(D_SEQ,B154))</f>
        <v/>
      </c>
      <c r="E154">
        <f>IF(B154="","",IFERROR(VALUE(INDEX(D_VAL,B154)&amp;""),""))</f>
        <v/>
      </c>
      <c r="F154">
        <f>IF(B154="","",F153+(C154&lt;&gt;C153))</f>
        <v/>
      </c>
      <c r="G154">
        <f>IF(B154="","",F154&amp;"|"&amp;D154)</f>
        <v/>
      </c>
    </row>
    <row r="155">
      <c r="A155" t="n">
        <v>144</v>
      </c>
      <c r="B155">
        <f>IF(A155&lt;=$B$4,$B$3+A155-1,"")</f>
        <v/>
      </c>
      <c r="C155">
        <f>IF(B155="","",INDEX(D_LOT,B155)&amp;"")</f>
        <v/>
      </c>
      <c r="D155">
        <f>IF(B155="","",INDEX(D_SEQ,B155))</f>
        <v/>
      </c>
      <c r="E155">
        <f>IF(B155="","",IFERROR(VALUE(INDEX(D_VAL,B155)&amp;""),""))</f>
        <v/>
      </c>
      <c r="F155">
        <f>IF(B155="","",F154+(C155&lt;&gt;C154))</f>
        <v/>
      </c>
      <c r="G155">
        <f>IF(B155="","",F155&amp;"|"&amp;D155)</f>
        <v/>
      </c>
    </row>
    <row r="156">
      <c r="A156" t="n">
        <v>145</v>
      </c>
      <c r="B156">
        <f>IF(A156&lt;=$B$4,$B$3+A156-1,"")</f>
        <v/>
      </c>
      <c r="C156">
        <f>IF(B156="","",INDEX(D_LOT,B156)&amp;"")</f>
        <v/>
      </c>
      <c r="D156">
        <f>IF(B156="","",INDEX(D_SEQ,B156))</f>
        <v/>
      </c>
      <c r="E156">
        <f>IF(B156="","",IFERROR(VALUE(INDEX(D_VAL,B156)&amp;""),""))</f>
        <v/>
      </c>
      <c r="F156">
        <f>IF(B156="","",F155+(C156&lt;&gt;C155))</f>
        <v/>
      </c>
      <c r="G156">
        <f>IF(B156="","",F156&amp;"|"&amp;D156)</f>
        <v/>
      </c>
    </row>
    <row r="157">
      <c r="A157" t="n">
        <v>146</v>
      </c>
      <c r="B157">
        <f>IF(A157&lt;=$B$4,$B$3+A157-1,"")</f>
        <v/>
      </c>
      <c r="C157">
        <f>IF(B157="","",INDEX(D_LOT,B157)&amp;"")</f>
        <v/>
      </c>
      <c r="D157">
        <f>IF(B157="","",INDEX(D_SEQ,B157))</f>
        <v/>
      </c>
      <c r="E157">
        <f>IF(B157="","",IFERROR(VALUE(INDEX(D_VAL,B157)&amp;""),""))</f>
        <v/>
      </c>
      <c r="F157">
        <f>IF(B157="","",F156+(C157&lt;&gt;C156))</f>
        <v/>
      </c>
      <c r="G157">
        <f>IF(B157="","",F157&amp;"|"&amp;D157)</f>
        <v/>
      </c>
    </row>
    <row r="158">
      <c r="A158" t="n">
        <v>147</v>
      </c>
      <c r="B158">
        <f>IF(A158&lt;=$B$4,$B$3+A158-1,"")</f>
        <v/>
      </c>
      <c r="C158">
        <f>IF(B158="","",INDEX(D_LOT,B158)&amp;"")</f>
        <v/>
      </c>
      <c r="D158">
        <f>IF(B158="","",INDEX(D_SEQ,B158))</f>
        <v/>
      </c>
      <c r="E158">
        <f>IF(B158="","",IFERROR(VALUE(INDEX(D_VAL,B158)&amp;""),""))</f>
        <v/>
      </c>
      <c r="F158">
        <f>IF(B158="","",F157+(C158&lt;&gt;C157))</f>
        <v/>
      </c>
      <c r="G158">
        <f>IF(B158="","",F158&amp;"|"&amp;D158)</f>
        <v/>
      </c>
    </row>
    <row r="159">
      <c r="A159" t="n">
        <v>148</v>
      </c>
      <c r="B159">
        <f>IF(A159&lt;=$B$4,$B$3+A159-1,"")</f>
        <v/>
      </c>
      <c r="C159">
        <f>IF(B159="","",INDEX(D_LOT,B159)&amp;"")</f>
        <v/>
      </c>
      <c r="D159">
        <f>IF(B159="","",INDEX(D_SEQ,B159))</f>
        <v/>
      </c>
      <c r="E159">
        <f>IF(B159="","",IFERROR(VALUE(INDEX(D_VAL,B159)&amp;""),""))</f>
        <v/>
      </c>
      <c r="F159">
        <f>IF(B159="","",F158+(C159&lt;&gt;C158))</f>
        <v/>
      </c>
      <c r="G159">
        <f>IF(B159="","",F159&amp;"|"&amp;D159)</f>
        <v/>
      </c>
    </row>
    <row r="160">
      <c r="A160" t="n">
        <v>149</v>
      </c>
      <c r="B160">
        <f>IF(A160&lt;=$B$4,$B$3+A160-1,"")</f>
        <v/>
      </c>
      <c r="C160">
        <f>IF(B160="","",INDEX(D_LOT,B160)&amp;"")</f>
        <v/>
      </c>
      <c r="D160">
        <f>IF(B160="","",INDEX(D_SEQ,B160))</f>
        <v/>
      </c>
      <c r="E160">
        <f>IF(B160="","",IFERROR(VALUE(INDEX(D_VAL,B160)&amp;""),""))</f>
        <v/>
      </c>
      <c r="F160">
        <f>IF(B160="","",F159+(C160&lt;&gt;C159))</f>
        <v/>
      </c>
      <c r="G160">
        <f>IF(B160="","",F160&amp;"|"&amp;D160)</f>
        <v/>
      </c>
    </row>
    <row r="161">
      <c r="A161" t="n">
        <v>150</v>
      </c>
      <c r="B161">
        <f>IF(A161&lt;=$B$4,$B$3+A161-1,"")</f>
        <v/>
      </c>
      <c r="C161">
        <f>IF(B161="","",INDEX(D_LOT,B161)&amp;"")</f>
        <v/>
      </c>
      <c r="D161">
        <f>IF(B161="","",INDEX(D_SEQ,B161))</f>
        <v/>
      </c>
      <c r="E161">
        <f>IF(B161="","",IFERROR(VALUE(INDEX(D_VAL,B161)&amp;""),""))</f>
        <v/>
      </c>
      <c r="F161">
        <f>IF(B161="","",F160+(C161&lt;&gt;C160))</f>
        <v/>
      </c>
      <c r="G161">
        <f>IF(B161="","",F161&amp;"|"&amp;D161)</f>
        <v/>
      </c>
    </row>
    <row r="162">
      <c r="A162" t="n">
        <v>151</v>
      </c>
      <c r="B162">
        <f>IF(A162&lt;=$B$4,$B$3+A162-1,"")</f>
        <v/>
      </c>
      <c r="C162">
        <f>IF(B162="","",INDEX(D_LOT,B162)&amp;"")</f>
        <v/>
      </c>
      <c r="D162">
        <f>IF(B162="","",INDEX(D_SEQ,B162))</f>
        <v/>
      </c>
      <c r="E162">
        <f>IF(B162="","",IFERROR(VALUE(INDEX(D_VAL,B162)&amp;""),""))</f>
        <v/>
      </c>
      <c r="F162">
        <f>IF(B162="","",F161+(C162&lt;&gt;C161))</f>
        <v/>
      </c>
      <c r="G162">
        <f>IF(B162="","",F162&amp;"|"&amp;D162)</f>
        <v/>
      </c>
    </row>
    <row r="163">
      <c r="A163" t="n">
        <v>152</v>
      </c>
      <c r="B163">
        <f>IF(A163&lt;=$B$4,$B$3+A163-1,"")</f>
        <v/>
      </c>
      <c r="C163">
        <f>IF(B163="","",INDEX(D_LOT,B163)&amp;"")</f>
        <v/>
      </c>
      <c r="D163">
        <f>IF(B163="","",INDEX(D_SEQ,B163))</f>
        <v/>
      </c>
      <c r="E163">
        <f>IF(B163="","",IFERROR(VALUE(INDEX(D_VAL,B163)&amp;""),""))</f>
        <v/>
      </c>
      <c r="F163">
        <f>IF(B163="","",F162+(C163&lt;&gt;C162))</f>
        <v/>
      </c>
      <c r="G163">
        <f>IF(B163="","",F163&amp;"|"&amp;D163)</f>
        <v/>
      </c>
    </row>
    <row r="164">
      <c r="A164" t="n">
        <v>153</v>
      </c>
      <c r="B164">
        <f>IF(A164&lt;=$B$4,$B$3+A164-1,"")</f>
        <v/>
      </c>
      <c r="C164">
        <f>IF(B164="","",INDEX(D_LOT,B164)&amp;"")</f>
        <v/>
      </c>
      <c r="D164">
        <f>IF(B164="","",INDEX(D_SEQ,B164))</f>
        <v/>
      </c>
      <c r="E164">
        <f>IF(B164="","",IFERROR(VALUE(INDEX(D_VAL,B164)&amp;""),""))</f>
        <v/>
      </c>
      <c r="F164">
        <f>IF(B164="","",F163+(C164&lt;&gt;C163))</f>
        <v/>
      </c>
      <c r="G164">
        <f>IF(B164="","",F164&amp;"|"&amp;D164)</f>
        <v/>
      </c>
    </row>
    <row r="165">
      <c r="A165" t="n">
        <v>154</v>
      </c>
      <c r="B165">
        <f>IF(A165&lt;=$B$4,$B$3+A165-1,"")</f>
        <v/>
      </c>
      <c r="C165">
        <f>IF(B165="","",INDEX(D_LOT,B165)&amp;"")</f>
        <v/>
      </c>
      <c r="D165">
        <f>IF(B165="","",INDEX(D_SEQ,B165))</f>
        <v/>
      </c>
      <c r="E165">
        <f>IF(B165="","",IFERROR(VALUE(INDEX(D_VAL,B165)&amp;""),""))</f>
        <v/>
      </c>
      <c r="F165">
        <f>IF(B165="","",F164+(C165&lt;&gt;C164))</f>
        <v/>
      </c>
      <c r="G165">
        <f>IF(B165="","",F165&amp;"|"&amp;D165)</f>
        <v/>
      </c>
    </row>
    <row r="166">
      <c r="A166" t="n">
        <v>155</v>
      </c>
      <c r="B166">
        <f>IF(A166&lt;=$B$4,$B$3+A166-1,"")</f>
        <v/>
      </c>
      <c r="C166">
        <f>IF(B166="","",INDEX(D_LOT,B166)&amp;"")</f>
        <v/>
      </c>
      <c r="D166">
        <f>IF(B166="","",INDEX(D_SEQ,B166))</f>
        <v/>
      </c>
      <c r="E166">
        <f>IF(B166="","",IFERROR(VALUE(INDEX(D_VAL,B166)&amp;""),""))</f>
        <v/>
      </c>
      <c r="F166">
        <f>IF(B166="","",F165+(C166&lt;&gt;C165))</f>
        <v/>
      </c>
      <c r="G166">
        <f>IF(B166="","",F166&amp;"|"&amp;D166)</f>
        <v/>
      </c>
    </row>
    <row r="167">
      <c r="A167" t="n">
        <v>156</v>
      </c>
      <c r="B167">
        <f>IF(A167&lt;=$B$4,$B$3+A167-1,"")</f>
        <v/>
      </c>
      <c r="C167">
        <f>IF(B167="","",INDEX(D_LOT,B167)&amp;"")</f>
        <v/>
      </c>
      <c r="D167">
        <f>IF(B167="","",INDEX(D_SEQ,B167))</f>
        <v/>
      </c>
      <c r="E167">
        <f>IF(B167="","",IFERROR(VALUE(INDEX(D_VAL,B167)&amp;""),""))</f>
        <v/>
      </c>
      <c r="F167">
        <f>IF(B167="","",F166+(C167&lt;&gt;C166))</f>
        <v/>
      </c>
      <c r="G167">
        <f>IF(B167="","",F167&amp;"|"&amp;D167)</f>
        <v/>
      </c>
    </row>
    <row r="168">
      <c r="A168" t="n">
        <v>157</v>
      </c>
      <c r="B168">
        <f>IF(A168&lt;=$B$4,$B$3+A168-1,"")</f>
        <v/>
      </c>
      <c r="C168">
        <f>IF(B168="","",INDEX(D_LOT,B168)&amp;"")</f>
        <v/>
      </c>
      <c r="D168">
        <f>IF(B168="","",INDEX(D_SEQ,B168))</f>
        <v/>
      </c>
      <c r="E168">
        <f>IF(B168="","",IFERROR(VALUE(INDEX(D_VAL,B168)&amp;""),""))</f>
        <v/>
      </c>
      <c r="F168">
        <f>IF(B168="","",F167+(C168&lt;&gt;C167))</f>
        <v/>
      </c>
      <c r="G168">
        <f>IF(B168="","",F168&amp;"|"&amp;D168)</f>
        <v/>
      </c>
    </row>
    <row r="169">
      <c r="A169" t="n">
        <v>158</v>
      </c>
      <c r="B169">
        <f>IF(A169&lt;=$B$4,$B$3+A169-1,"")</f>
        <v/>
      </c>
      <c r="C169">
        <f>IF(B169="","",INDEX(D_LOT,B169)&amp;"")</f>
        <v/>
      </c>
      <c r="D169">
        <f>IF(B169="","",INDEX(D_SEQ,B169))</f>
        <v/>
      </c>
      <c r="E169">
        <f>IF(B169="","",IFERROR(VALUE(INDEX(D_VAL,B169)&amp;""),""))</f>
        <v/>
      </c>
      <c r="F169">
        <f>IF(B169="","",F168+(C169&lt;&gt;C168))</f>
        <v/>
      </c>
      <c r="G169">
        <f>IF(B169="","",F169&amp;"|"&amp;D169)</f>
        <v/>
      </c>
    </row>
    <row r="170">
      <c r="A170" t="n">
        <v>159</v>
      </c>
      <c r="B170">
        <f>IF(A170&lt;=$B$4,$B$3+A170-1,"")</f>
        <v/>
      </c>
      <c r="C170">
        <f>IF(B170="","",INDEX(D_LOT,B170)&amp;"")</f>
        <v/>
      </c>
      <c r="D170">
        <f>IF(B170="","",INDEX(D_SEQ,B170))</f>
        <v/>
      </c>
      <c r="E170">
        <f>IF(B170="","",IFERROR(VALUE(INDEX(D_VAL,B170)&amp;""),""))</f>
        <v/>
      </c>
      <c r="F170">
        <f>IF(B170="","",F169+(C170&lt;&gt;C169))</f>
        <v/>
      </c>
      <c r="G170">
        <f>IF(B170="","",F170&amp;"|"&amp;D170)</f>
        <v/>
      </c>
    </row>
    <row r="171">
      <c r="A171" t="n">
        <v>160</v>
      </c>
      <c r="B171">
        <f>IF(A171&lt;=$B$4,$B$3+A171-1,"")</f>
        <v/>
      </c>
      <c r="C171">
        <f>IF(B171="","",INDEX(D_LOT,B171)&amp;"")</f>
        <v/>
      </c>
      <c r="D171">
        <f>IF(B171="","",INDEX(D_SEQ,B171))</f>
        <v/>
      </c>
      <c r="E171">
        <f>IF(B171="","",IFERROR(VALUE(INDEX(D_VAL,B171)&amp;""),""))</f>
        <v/>
      </c>
      <c r="F171">
        <f>IF(B171="","",F170+(C171&lt;&gt;C170))</f>
        <v/>
      </c>
      <c r="G171">
        <f>IF(B171="","",F171&amp;"|"&amp;D171)</f>
        <v/>
      </c>
    </row>
    <row r="172">
      <c r="A172" t="n">
        <v>161</v>
      </c>
      <c r="B172">
        <f>IF(A172&lt;=$B$4,$B$3+A172-1,"")</f>
        <v/>
      </c>
      <c r="C172">
        <f>IF(B172="","",INDEX(D_LOT,B172)&amp;"")</f>
        <v/>
      </c>
      <c r="D172">
        <f>IF(B172="","",INDEX(D_SEQ,B172))</f>
        <v/>
      </c>
      <c r="E172">
        <f>IF(B172="","",IFERROR(VALUE(INDEX(D_VAL,B172)&amp;""),""))</f>
        <v/>
      </c>
      <c r="F172">
        <f>IF(B172="","",F171+(C172&lt;&gt;C171))</f>
        <v/>
      </c>
      <c r="G172">
        <f>IF(B172="","",F172&amp;"|"&amp;D172)</f>
        <v/>
      </c>
    </row>
    <row r="173">
      <c r="A173" t="n">
        <v>162</v>
      </c>
      <c r="B173">
        <f>IF(A173&lt;=$B$4,$B$3+A173-1,"")</f>
        <v/>
      </c>
      <c r="C173">
        <f>IF(B173="","",INDEX(D_LOT,B173)&amp;"")</f>
        <v/>
      </c>
      <c r="D173">
        <f>IF(B173="","",INDEX(D_SEQ,B173))</f>
        <v/>
      </c>
      <c r="E173">
        <f>IF(B173="","",IFERROR(VALUE(INDEX(D_VAL,B173)&amp;""),""))</f>
        <v/>
      </c>
      <c r="F173">
        <f>IF(B173="","",F172+(C173&lt;&gt;C172))</f>
        <v/>
      </c>
      <c r="G173">
        <f>IF(B173="","",F173&amp;"|"&amp;D173)</f>
        <v/>
      </c>
    </row>
    <row r="174">
      <c r="A174" t="n">
        <v>163</v>
      </c>
      <c r="B174">
        <f>IF(A174&lt;=$B$4,$B$3+A174-1,"")</f>
        <v/>
      </c>
      <c r="C174">
        <f>IF(B174="","",INDEX(D_LOT,B174)&amp;"")</f>
        <v/>
      </c>
      <c r="D174">
        <f>IF(B174="","",INDEX(D_SEQ,B174))</f>
        <v/>
      </c>
      <c r="E174">
        <f>IF(B174="","",IFERROR(VALUE(INDEX(D_VAL,B174)&amp;""),""))</f>
        <v/>
      </c>
      <c r="F174">
        <f>IF(B174="","",F173+(C174&lt;&gt;C173))</f>
        <v/>
      </c>
      <c r="G174">
        <f>IF(B174="","",F174&amp;"|"&amp;D174)</f>
        <v/>
      </c>
    </row>
    <row r="175">
      <c r="A175" t="n">
        <v>164</v>
      </c>
      <c r="B175">
        <f>IF(A175&lt;=$B$4,$B$3+A175-1,"")</f>
        <v/>
      </c>
      <c r="C175">
        <f>IF(B175="","",INDEX(D_LOT,B175)&amp;"")</f>
        <v/>
      </c>
      <c r="D175">
        <f>IF(B175="","",INDEX(D_SEQ,B175))</f>
        <v/>
      </c>
      <c r="E175">
        <f>IF(B175="","",IFERROR(VALUE(INDEX(D_VAL,B175)&amp;""),""))</f>
        <v/>
      </c>
      <c r="F175">
        <f>IF(B175="","",F174+(C175&lt;&gt;C174))</f>
        <v/>
      </c>
      <c r="G175">
        <f>IF(B175="","",F175&amp;"|"&amp;D175)</f>
        <v/>
      </c>
    </row>
    <row r="176">
      <c r="A176" t="n">
        <v>165</v>
      </c>
      <c r="B176">
        <f>IF(A176&lt;=$B$4,$B$3+A176-1,"")</f>
        <v/>
      </c>
      <c r="C176">
        <f>IF(B176="","",INDEX(D_LOT,B176)&amp;"")</f>
        <v/>
      </c>
      <c r="D176">
        <f>IF(B176="","",INDEX(D_SEQ,B176))</f>
        <v/>
      </c>
      <c r="E176">
        <f>IF(B176="","",IFERROR(VALUE(INDEX(D_VAL,B176)&amp;""),""))</f>
        <v/>
      </c>
      <c r="F176">
        <f>IF(B176="","",F175+(C176&lt;&gt;C175))</f>
        <v/>
      </c>
      <c r="G176">
        <f>IF(B176="","",F176&amp;"|"&amp;D176)</f>
        <v/>
      </c>
    </row>
    <row r="177">
      <c r="A177" t="n">
        <v>166</v>
      </c>
      <c r="B177">
        <f>IF(A177&lt;=$B$4,$B$3+A177-1,"")</f>
        <v/>
      </c>
      <c r="C177">
        <f>IF(B177="","",INDEX(D_LOT,B177)&amp;"")</f>
        <v/>
      </c>
      <c r="D177">
        <f>IF(B177="","",INDEX(D_SEQ,B177))</f>
        <v/>
      </c>
      <c r="E177">
        <f>IF(B177="","",IFERROR(VALUE(INDEX(D_VAL,B177)&amp;""),""))</f>
        <v/>
      </c>
      <c r="F177">
        <f>IF(B177="","",F176+(C177&lt;&gt;C176))</f>
        <v/>
      </c>
      <c r="G177">
        <f>IF(B177="","",F177&amp;"|"&amp;D177)</f>
        <v/>
      </c>
    </row>
    <row r="178">
      <c r="A178" t="n">
        <v>167</v>
      </c>
      <c r="B178">
        <f>IF(A178&lt;=$B$4,$B$3+A178-1,"")</f>
        <v/>
      </c>
      <c r="C178">
        <f>IF(B178="","",INDEX(D_LOT,B178)&amp;"")</f>
        <v/>
      </c>
      <c r="D178">
        <f>IF(B178="","",INDEX(D_SEQ,B178))</f>
        <v/>
      </c>
      <c r="E178">
        <f>IF(B178="","",IFERROR(VALUE(INDEX(D_VAL,B178)&amp;""),""))</f>
        <v/>
      </c>
      <c r="F178">
        <f>IF(B178="","",F177+(C178&lt;&gt;C177))</f>
        <v/>
      </c>
      <c r="G178">
        <f>IF(B178="","",F178&amp;"|"&amp;D178)</f>
        <v/>
      </c>
    </row>
    <row r="179">
      <c r="A179" t="n">
        <v>168</v>
      </c>
      <c r="B179">
        <f>IF(A179&lt;=$B$4,$B$3+A179-1,"")</f>
        <v/>
      </c>
      <c r="C179">
        <f>IF(B179="","",INDEX(D_LOT,B179)&amp;"")</f>
        <v/>
      </c>
      <c r="D179">
        <f>IF(B179="","",INDEX(D_SEQ,B179))</f>
        <v/>
      </c>
      <c r="E179">
        <f>IF(B179="","",IFERROR(VALUE(INDEX(D_VAL,B179)&amp;""),""))</f>
        <v/>
      </c>
      <c r="F179">
        <f>IF(B179="","",F178+(C179&lt;&gt;C178))</f>
        <v/>
      </c>
      <c r="G179">
        <f>IF(B179="","",F179&amp;"|"&amp;D179)</f>
        <v/>
      </c>
    </row>
    <row r="180">
      <c r="A180" t="n">
        <v>169</v>
      </c>
      <c r="B180">
        <f>IF(A180&lt;=$B$4,$B$3+A180-1,"")</f>
        <v/>
      </c>
      <c r="C180">
        <f>IF(B180="","",INDEX(D_LOT,B180)&amp;"")</f>
        <v/>
      </c>
      <c r="D180">
        <f>IF(B180="","",INDEX(D_SEQ,B180))</f>
        <v/>
      </c>
      <c r="E180">
        <f>IF(B180="","",IFERROR(VALUE(INDEX(D_VAL,B180)&amp;""),""))</f>
        <v/>
      </c>
      <c r="F180">
        <f>IF(B180="","",F179+(C180&lt;&gt;C179))</f>
        <v/>
      </c>
      <c r="G180">
        <f>IF(B180="","",F180&amp;"|"&amp;D180)</f>
        <v/>
      </c>
    </row>
    <row r="181">
      <c r="A181" t="n">
        <v>170</v>
      </c>
      <c r="B181">
        <f>IF(A181&lt;=$B$4,$B$3+A181-1,"")</f>
        <v/>
      </c>
      <c r="C181">
        <f>IF(B181="","",INDEX(D_LOT,B181)&amp;"")</f>
        <v/>
      </c>
      <c r="D181">
        <f>IF(B181="","",INDEX(D_SEQ,B181))</f>
        <v/>
      </c>
      <c r="E181">
        <f>IF(B181="","",IFERROR(VALUE(INDEX(D_VAL,B181)&amp;""),""))</f>
        <v/>
      </c>
      <c r="F181">
        <f>IF(B181="","",F180+(C181&lt;&gt;C180))</f>
        <v/>
      </c>
      <c r="G181">
        <f>IF(B181="","",F181&amp;"|"&amp;D181)</f>
        <v/>
      </c>
    </row>
    <row r="182">
      <c r="A182" t="n">
        <v>171</v>
      </c>
      <c r="B182">
        <f>IF(A182&lt;=$B$4,$B$3+A182-1,"")</f>
        <v/>
      </c>
      <c r="C182">
        <f>IF(B182="","",INDEX(D_LOT,B182)&amp;"")</f>
        <v/>
      </c>
      <c r="D182">
        <f>IF(B182="","",INDEX(D_SEQ,B182))</f>
        <v/>
      </c>
      <c r="E182">
        <f>IF(B182="","",IFERROR(VALUE(INDEX(D_VAL,B182)&amp;""),""))</f>
        <v/>
      </c>
      <c r="F182">
        <f>IF(B182="","",F181+(C182&lt;&gt;C181))</f>
        <v/>
      </c>
      <c r="G182">
        <f>IF(B182="","",F182&amp;"|"&amp;D182)</f>
        <v/>
      </c>
    </row>
    <row r="183">
      <c r="A183" t="n">
        <v>172</v>
      </c>
      <c r="B183">
        <f>IF(A183&lt;=$B$4,$B$3+A183-1,"")</f>
        <v/>
      </c>
      <c r="C183">
        <f>IF(B183="","",INDEX(D_LOT,B183)&amp;"")</f>
        <v/>
      </c>
      <c r="D183">
        <f>IF(B183="","",INDEX(D_SEQ,B183))</f>
        <v/>
      </c>
      <c r="E183">
        <f>IF(B183="","",IFERROR(VALUE(INDEX(D_VAL,B183)&amp;""),""))</f>
        <v/>
      </c>
      <c r="F183">
        <f>IF(B183="","",F182+(C183&lt;&gt;C182))</f>
        <v/>
      </c>
      <c r="G183">
        <f>IF(B183="","",F183&amp;"|"&amp;D183)</f>
        <v/>
      </c>
    </row>
    <row r="184">
      <c r="A184" t="n">
        <v>173</v>
      </c>
      <c r="B184">
        <f>IF(A184&lt;=$B$4,$B$3+A184-1,"")</f>
        <v/>
      </c>
      <c r="C184">
        <f>IF(B184="","",INDEX(D_LOT,B184)&amp;"")</f>
        <v/>
      </c>
      <c r="D184">
        <f>IF(B184="","",INDEX(D_SEQ,B184))</f>
        <v/>
      </c>
      <c r="E184">
        <f>IF(B184="","",IFERROR(VALUE(INDEX(D_VAL,B184)&amp;""),""))</f>
        <v/>
      </c>
      <c r="F184">
        <f>IF(B184="","",F183+(C184&lt;&gt;C183))</f>
        <v/>
      </c>
      <c r="G184">
        <f>IF(B184="","",F184&amp;"|"&amp;D184)</f>
        <v/>
      </c>
    </row>
    <row r="185">
      <c r="A185" t="n">
        <v>174</v>
      </c>
      <c r="B185">
        <f>IF(A185&lt;=$B$4,$B$3+A185-1,"")</f>
        <v/>
      </c>
      <c r="C185">
        <f>IF(B185="","",INDEX(D_LOT,B185)&amp;"")</f>
        <v/>
      </c>
      <c r="D185">
        <f>IF(B185="","",INDEX(D_SEQ,B185))</f>
        <v/>
      </c>
      <c r="E185">
        <f>IF(B185="","",IFERROR(VALUE(INDEX(D_VAL,B185)&amp;""),""))</f>
        <v/>
      </c>
      <c r="F185">
        <f>IF(B185="","",F184+(C185&lt;&gt;C184))</f>
        <v/>
      </c>
      <c r="G185">
        <f>IF(B185="","",F185&amp;"|"&amp;D185)</f>
        <v/>
      </c>
    </row>
    <row r="186">
      <c r="A186" t="n">
        <v>175</v>
      </c>
      <c r="B186">
        <f>IF(A186&lt;=$B$4,$B$3+A186-1,"")</f>
        <v/>
      </c>
      <c r="C186">
        <f>IF(B186="","",INDEX(D_LOT,B186)&amp;"")</f>
        <v/>
      </c>
      <c r="D186">
        <f>IF(B186="","",INDEX(D_SEQ,B186))</f>
        <v/>
      </c>
      <c r="E186">
        <f>IF(B186="","",IFERROR(VALUE(INDEX(D_VAL,B186)&amp;""),""))</f>
        <v/>
      </c>
      <c r="F186">
        <f>IF(B186="","",F185+(C186&lt;&gt;C185))</f>
        <v/>
      </c>
      <c r="G186">
        <f>IF(B186="","",F186&amp;"|"&amp;D186)</f>
        <v/>
      </c>
    </row>
    <row r="187">
      <c r="A187" t="n">
        <v>176</v>
      </c>
      <c r="B187">
        <f>IF(A187&lt;=$B$4,$B$3+A187-1,"")</f>
        <v/>
      </c>
      <c r="C187">
        <f>IF(B187="","",INDEX(D_LOT,B187)&amp;"")</f>
        <v/>
      </c>
      <c r="D187">
        <f>IF(B187="","",INDEX(D_SEQ,B187))</f>
        <v/>
      </c>
      <c r="E187">
        <f>IF(B187="","",IFERROR(VALUE(INDEX(D_VAL,B187)&amp;""),""))</f>
        <v/>
      </c>
      <c r="F187">
        <f>IF(B187="","",F186+(C187&lt;&gt;C186))</f>
        <v/>
      </c>
      <c r="G187">
        <f>IF(B187="","",F187&amp;"|"&amp;D187)</f>
        <v/>
      </c>
    </row>
    <row r="188">
      <c r="A188" t="n">
        <v>177</v>
      </c>
      <c r="B188">
        <f>IF(A188&lt;=$B$4,$B$3+A188-1,"")</f>
        <v/>
      </c>
      <c r="C188">
        <f>IF(B188="","",INDEX(D_LOT,B188)&amp;"")</f>
        <v/>
      </c>
      <c r="D188">
        <f>IF(B188="","",INDEX(D_SEQ,B188))</f>
        <v/>
      </c>
      <c r="E188">
        <f>IF(B188="","",IFERROR(VALUE(INDEX(D_VAL,B188)&amp;""),""))</f>
        <v/>
      </c>
      <c r="F188">
        <f>IF(B188="","",F187+(C188&lt;&gt;C187))</f>
        <v/>
      </c>
      <c r="G188">
        <f>IF(B188="","",F188&amp;"|"&amp;D188)</f>
        <v/>
      </c>
    </row>
    <row r="189">
      <c r="A189" t="n">
        <v>178</v>
      </c>
      <c r="B189">
        <f>IF(A189&lt;=$B$4,$B$3+A189-1,"")</f>
        <v/>
      </c>
      <c r="C189">
        <f>IF(B189="","",INDEX(D_LOT,B189)&amp;"")</f>
        <v/>
      </c>
      <c r="D189">
        <f>IF(B189="","",INDEX(D_SEQ,B189))</f>
        <v/>
      </c>
      <c r="E189">
        <f>IF(B189="","",IFERROR(VALUE(INDEX(D_VAL,B189)&amp;""),""))</f>
        <v/>
      </c>
      <c r="F189">
        <f>IF(B189="","",F188+(C189&lt;&gt;C188))</f>
        <v/>
      </c>
      <c r="G189">
        <f>IF(B189="","",F189&amp;"|"&amp;D189)</f>
        <v/>
      </c>
    </row>
    <row r="190">
      <c r="A190" t="n">
        <v>179</v>
      </c>
      <c r="B190">
        <f>IF(A190&lt;=$B$4,$B$3+A190-1,"")</f>
        <v/>
      </c>
      <c r="C190">
        <f>IF(B190="","",INDEX(D_LOT,B190)&amp;"")</f>
        <v/>
      </c>
      <c r="D190">
        <f>IF(B190="","",INDEX(D_SEQ,B190))</f>
        <v/>
      </c>
      <c r="E190">
        <f>IF(B190="","",IFERROR(VALUE(INDEX(D_VAL,B190)&amp;""),""))</f>
        <v/>
      </c>
      <c r="F190">
        <f>IF(B190="","",F189+(C190&lt;&gt;C189))</f>
        <v/>
      </c>
      <c r="G190">
        <f>IF(B190="","",F190&amp;"|"&amp;D190)</f>
        <v/>
      </c>
    </row>
    <row r="191">
      <c r="A191" t="n">
        <v>180</v>
      </c>
      <c r="B191">
        <f>IF(A191&lt;=$B$4,$B$3+A191-1,"")</f>
        <v/>
      </c>
      <c r="C191">
        <f>IF(B191="","",INDEX(D_LOT,B191)&amp;"")</f>
        <v/>
      </c>
      <c r="D191">
        <f>IF(B191="","",INDEX(D_SEQ,B191))</f>
        <v/>
      </c>
      <c r="E191">
        <f>IF(B191="","",IFERROR(VALUE(INDEX(D_VAL,B191)&amp;""),""))</f>
        <v/>
      </c>
      <c r="F191">
        <f>IF(B191="","",F190+(C191&lt;&gt;C190))</f>
        <v/>
      </c>
      <c r="G191">
        <f>IF(B191="","",F191&amp;"|"&amp;D191)</f>
        <v/>
      </c>
    </row>
    <row r="192">
      <c r="A192" t="n">
        <v>181</v>
      </c>
      <c r="B192">
        <f>IF(A192&lt;=$B$4,$B$3+A192-1,"")</f>
        <v/>
      </c>
      <c r="C192">
        <f>IF(B192="","",INDEX(D_LOT,B192)&amp;"")</f>
        <v/>
      </c>
      <c r="D192">
        <f>IF(B192="","",INDEX(D_SEQ,B192))</f>
        <v/>
      </c>
      <c r="E192">
        <f>IF(B192="","",IFERROR(VALUE(INDEX(D_VAL,B192)&amp;""),""))</f>
        <v/>
      </c>
      <c r="F192">
        <f>IF(B192="","",F191+(C192&lt;&gt;C191))</f>
        <v/>
      </c>
      <c r="G192">
        <f>IF(B192="","",F192&amp;"|"&amp;D192)</f>
        <v/>
      </c>
    </row>
    <row r="193">
      <c r="A193" t="n">
        <v>182</v>
      </c>
      <c r="B193">
        <f>IF(A193&lt;=$B$4,$B$3+A193-1,"")</f>
        <v/>
      </c>
      <c r="C193">
        <f>IF(B193="","",INDEX(D_LOT,B193)&amp;"")</f>
        <v/>
      </c>
      <c r="D193">
        <f>IF(B193="","",INDEX(D_SEQ,B193))</f>
        <v/>
      </c>
      <c r="E193">
        <f>IF(B193="","",IFERROR(VALUE(INDEX(D_VAL,B193)&amp;""),""))</f>
        <v/>
      </c>
      <c r="F193">
        <f>IF(B193="","",F192+(C193&lt;&gt;C192))</f>
        <v/>
      </c>
      <c r="G193">
        <f>IF(B193="","",F193&amp;"|"&amp;D193)</f>
        <v/>
      </c>
    </row>
    <row r="194">
      <c r="A194" t="n">
        <v>183</v>
      </c>
      <c r="B194">
        <f>IF(A194&lt;=$B$4,$B$3+A194-1,"")</f>
        <v/>
      </c>
      <c r="C194">
        <f>IF(B194="","",INDEX(D_LOT,B194)&amp;"")</f>
        <v/>
      </c>
      <c r="D194">
        <f>IF(B194="","",INDEX(D_SEQ,B194))</f>
        <v/>
      </c>
      <c r="E194">
        <f>IF(B194="","",IFERROR(VALUE(INDEX(D_VAL,B194)&amp;""),""))</f>
        <v/>
      </c>
      <c r="F194">
        <f>IF(B194="","",F193+(C194&lt;&gt;C193))</f>
        <v/>
      </c>
      <c r="G194">
        <f>IF(B194="","",F194&amp;"|"&amp;D194)</f>
        <v/>
      </c>
    </row>
    <row r="195">
      <c r="A195" t="n">
        <v>184</v>
      </c>
      <c r="B195">
        <f>IF(A195&lt;=$B$4,$B$3+A195-1,"")</f>
        <v/>
      </c>
      <c r="C195">
        <f>IF(B195="","",INDEX(D_LOT,B195)&amp;"")</f>
        <v/>
      </c>
      <c r="D195">
        <f>IF(B195="","",INDEX(D_SEQ,B195))</f>
        <v/>
      </c>
      <c r="E195">
        <f>IF(B195="","",IFERROR(VALUE(INDEX(D_VAL,B195)&amp;""),""))</f>
        <v/>
      </c>
      <c r="F195">
        <f>IF(B195="","",F194+(C195&lt;&gt;C194))</f>
        <v/>
      </c>
      <c r="G195">
        <f>IF(B195="","",F195&amp;"|"&amp;D195)</f>
        <v/>
      </c>
    </row>
    <row r="196">
      <c r="A196" t="n">
        <v>185</v>
      </c>
      <c r="B196">
        <f>IF(A196&lt;=$B$4,$B$3+A196-1,"")</f>
        <v/>
      </c>
      <c r="C196">
        <f>IF(B196="","",INDEX(D_LOT,B196)&amp;"")</f>
        <v/>
      </c>
      <c r="D196">
        <f>IF(B196="","",INDEX(D_SEQ,B196))</f>
        <v/>
      </c>
      <c r="E196">
        <f>IF(B196="","",IFERROR(VALUE(INDEX(D_VAL,B196)&amp;""),""))</f>
        <v/>
      </c>
      <c r="F196">
        <f>IF(B196="","",F195+(C196&lt;&gt;C195))</f>
        <v/>
      </c>
      <c r="G196">
        <f>IF(B196="","",F196&amp;"|"&amp;D196)</f>
        <v/>
      </c>
    </row>
    <row r="197">
      <c r="A197" t="n">
        <v>186</v>
      </c>
      <c r="B197">
        <f>IF(A197&lt;=$B$4,$B$3+A197-1,"")</f>
        <v/>
      </c>
      <c r="C197">
        <f>IF(B197="","",INDEX(D_LOT,B197)&amp;"")</f>
        <v/>
      </c>
      <c r="D197">
        <f>IF(B197="","",INDEX(D_SEQ,B197))</f>
        <v/>
      </c>
      <c r="E197">
        <f>IF(B197="","",IFERROR(VALUE(INDEX(D_VAL,B197)&amp;""),""))</f>
        <v/>
      </c>
      <c r="F197">
        <f>IF(B197="","",F196+(C197&lt;&gt;C196))</f>
        <v/>
      </c>
      <c r="G197">
        <f>IF(B197="","",F197&amp;"|"&amp;D197)</f>
        <v/>
      </c>
    </row>
    <row r="198">
      <c r="A198" t="n">
        <v>187</v>
      </c>
      <c r="B198">
        <f>IF(A198&lt;=$B$4,$B$3+A198-1,"")</f>
        <v/>
      </c>
      <c r="C198">
        <f>IF(B198="","",INDEX(D_LOT,B198)&amp;"")</f>
        <v/>
      </c>
      <c r="D198">
        <f>IF(B198="","",INDEX(D_SEQ,B198))</f>
        <v/>
      </c>
      <c r="E198">
        <f>IF(B198="","",IFERROR(VALUE(INDEX(D_VAL,B198)&amp;""),""))</f>
        <v/>
      </c>
      <c r="F198">
        <f>IF(B198="","",F197+(C198&lt;&gt;C197))</f>
        <v/>
      </c>
      <c r="G198">
        <f>IF(B198="","",F198&amp;"|"&amp;D198)</f>
        <v/>
      </c>
    </row>
    <row r="199">
      <c r="A199" t="n">
        <v>188</v>
      </c>
      <c r="B199">
        <f>IF(A199&lt;=$B$4,$B$3+A199-1,"")</f>
        <v/>
      </c>
      <c r="C199">
        <f>IF(B199="","",INDEX(D_LOT,B199)&amp;"")</f>
        <v/>
      </c>
      <c r="D199">
        <f>IF(B199="","",INDEX(D_SEQ,B199))</f>
        <v/>
      </c>
      <c r="E199">
        <f>IF(B199="","",IFERROR(VALUE(INDEX(D_VAL,B199)&amp;""),""))</f>
        <v/>
      </c>
      <c r="F199">
        <f>IF(B199="","",F198+(C199&lt;&gt;C198))</f>
        <v/>
      </c>
      <c r="G199">
        <f>IF(B199="","",F199&amp;"|"&amp;D199)</f>
        <v/>
      </c>
    </row>
    <row r="200">
      <c r="A200" t="n">
        <v>189</v>
      </c>
      <c r="B200">
        <f>IF(A200&lt;=$B$4,$B$3+A200-1,"")</f>
        <v/>
      </c>
      <c r="C200">
        <f>IF(B200="","",INDEX(D_LOT,B200)&amp;"")</f>
        <v/>
      </c>
      <c r="D200">
        <f>IF(B200="","",INDEX(D_SEQ,B200))</f>
        <v/>
      </c>
      <c r="E200">
        <f>IF(B200="","",IFERROR(VALUE(INDEX(D_VAL,B200)&amp;""),""))</f>
        <v/>
      </c>
      <c r="F200">
        <f>IF(B200="","",F199+(C200&lt;&gt;C199))</f>
        <v/>
      </c>
      <c r="G200">
        <f>IF(B200="","",F200&amp;"|"&amp;D200)</f>
        <v/>
      </c>
    </row>
    <row r="201">
      <c r="A201" t="n">
        <v>190</v>
      </c>
      <c r="B201">
        <f>IF(A201&lt;=$B$4,$B$3+A201-1,"")</f>
        <v/>
      </c>
      <c r="C201">
        <f>IF(B201="","",INDEX(D_LOT,B201)&amp;"")</f>
        <v/>
      </c>
      <c r="D201">
        <f>IF(B201="","",INDEX(D_SEQ,B201))</f>
        <v/>
      </c>
      <c r="E201">
        <f>IF(B201="","",IFERROR(VALUE(INDEX(D_VAL,B201)&amp;""),""))</f>
        <v/>
      </c>
      <c r="F201">
        <f>IF(B201="","",F200+(C201&lt;&gt;C200))</f>
        <v/>
      </c>
      <c r="G201">
        <f>IF(B201="","",F201&amp;"|"&amp;D201)</f>
        <v/>
      </c>
    </row>
    <row r="202">
      <c r="A202" t="n">
        <v>191</v>
      </c>
      <c r="B202">
        <f>IF(A202&lt;=$B$4,$B$3+A202-1,"")</f>
        <v/>
      </c>
      <c r="C202">
        <f>IF(B202="","",INDEX(D_LOT,B202)&amp;"")</f>
        <v/>
      </c>
      <c r="D202">
        <f>IF(B202="","",INDEX(D_SEQ,B202))</f>
        <v/>
      </c>
      <c r="E202">
        <f>IF(B202="","",IFERROR(VALUE(INDEX(D_VAL,B202)&amp;""),""))</f>
        <v/>
      </c>
      <c r="F202">
        <f>IF(B202="","",F201+(C202&lt;&gt;C201))</f>
        <v/>
      </c>
      <c r="G202">
        <f>IF(B202="","",F202&amp;"|"&amp;D202)</f>
        <v/>
      </c>
    </row>
    <row r="203">
      <c r="A203" t="n">
        <v>192</v>
      </c>
      <c r="B203">
        <f>IF(A203&lt;=$B$4,$B$3+A203-1,"")</f>
        <v/>
      </c>
      <c r="C203">
        <f>IF(B203="","",INDEX(D_LOT,B203)&amp;"")</f>
        <v/>
      </c>
      <c r="D203">
        <f>IF(B203="","",INDEX(D_SEQ,B203))</f>
        <v/>
      </c>
      <c r="E203">
        <f>IF(B203="","",IFERROR(VALUE(INDEX(D_VAL,B203)&amp;""),""))</f>
        <v/>
      </c>
      <c r="F203">
        <f>IF(B203="","",F202+(C203&lt;&gt;C202))</f>
        <v/>
      </c>
      <c r="G203">
        <f>IF(B203="","",F203&amp;"|"&amp;D203)</f>
        <v/>
      </c>
    </row>
    <row r="204">
      <c r="A204" t="n">
        <v>193</v>
      </c>
      <c r="B204">
        <f>IF(A204&lt;=$B$4,$B$3+A204-1,"")</f>
        <v/>
      </c>
      <c r="C204">
        <f>IF(B204="","",INDEX(D_LOT,B204)&amp;"")</f>
        <v/>
      </c>
      <c r="D204">
        <f>IF(B204="","",INDEX(D_SEQ,B204))</f>
        <v/>
      </c>
      <c r="E204">
        <f>IF(B204="","",IFERROR(VALUE(INDEX(D_VAL,B204)&amp;""),""))</f>
        <v/>
      </c>
      <c r="F204">
        <f>IF(B204="","",F203+(C204&lt;&gt;C203))</f>
        <v/>
      </c>
      <c r="G204">
        <f>IF(B204="","",F204&amp;"|"&amp;D204)</f>
        <v/>
      </c>
    </row>
    <row r="205">
      <c r="A205" t="n">
        <v>194</v>
      </c>
      <c r="B205">
        <f>IF(A205&lt;=$B$4,$B$3+A205-1,"")</f>
        <v/>
      </c>
      <c r="C205">
        <f>IF(B205="","",INDEX(D_LOT,B205)&amp;"")</f>
        <v/>
      </c>
      <c r="D205">
        <f>IF(B205="","",INDEX(D_SEQ,B205))</f>
        <v/>
      </c>
      <c r="E205">
        <f>IF(B205="","",IFERROR(VALUE(INDEX(D_VAL,B205)&amp;""),""))</f>
        <v/>
      </c>
      <c r="F205">
        <f>IF(B205="","",F204+(C205&lt;&gt;C204))</f>
        <v/>
      </c>
      <c r="G205">
        <f>IF(B205="","",F205&amp;"|"&amp;D205)</f>
        <v/>
      </c>
    </row>
    <row r="206">
      <c r="A206" t="n">
        <v>195</v>
      </c>
      <c r="B206">
        <f>IF(A206&lt;=$B$4,$B$3+A206-1,"")</f>
        <v/>
      </c>
      <c r="C206">
        <f>IF(B206="","",INDEX(D_LOT,B206)&amp;"")</f>
        <v/>
      </c>
      <c r="D206">
        <f>IF(B206="","",INDEX(D_SEQ,B206))</f>
        <v/>
      </c>
      <c r="E206">
        <f>IF(B206="","",IFERROR(VALUE(INDEX(D_VAL,B206)&amp;""),""))</f>
        <v/>
      </c>
      <c r="F206">
        <f>IF(B206="","",F205+(C206&lt;&gt;C205))</f>
        <v/>
      </c>
      <c r="G206">
        <f>IF(B206="","",F206&amp;"|"&amp;D206)</f>
        <v/>
      </c>
    </row>
    <row r="207">
      <c r="A207" t="n">
        <v>196</v>
      </c>
      <c r="B207">
        <f>IF(A207&lt;=$B$4,$B$3+A207-1,"")</f>
        <v/>
      </c>
      <c r="C207">
        <f>IF(B207="","",INDEX(D_LOT,B207)&amp;"")</f>
        <v/>
      </c>
      <c r="D207">
        <f>IF(B207="","",INDEX(D_SEQ,B207))</f>
        <v/>
      </c>
      <c r="E207">
        <f>IF(B207="","",IFERROR(VALUE(INDEX(D_VAL,B207)&amp;""),""))</f>
        <v/>
      </c>
      <c r="F207">
        <f>IF(B207="","",F206+(C207&lt;&gt;C206))</f>
        <v/>
      </c>
      <c r="G207">
        <f>IF(B207="","",F207&amp;"|"&amp;D207)</f>
        <v/>
      </c>
    </row>
    <row r="208">
      <c r="A208" t="n">
        <v>197</v>
      </c>
      <c r="B208">
        <f>IF(A208&lt;=$B$4,$B$3+A208-1,"")</f>
        <v/>
      </c>
      <c r="C208">
        <f>IF(B208="","",INDEX(D_LOT,B208)&amp;"")</f>
        <v/>
      </c>
      <c r="D208">
        <f>IF(B208="","",INDEX(D_SEQ,B208))</f>
        <v/>
      </c>
      <c r="E208">
        <f>IF(B208="","",IFERROR(VALUE(INDEX(D_VAL,B208)&amp;""),""))</f>
        <v/>
      </c>
      <c r="F208">
        <f>IF(B208="","",F207+(C208&lt;&gt;C207))</f>
        <v/>
      </c>
      <c r="G208">
        <f>IF(B208="","",F208&amp;"|"&amp;D208)</f>
        <v/>
      </c>
    </row>
    <row r="209">
      <c r="A209" t="n">
        <v>198</v>
      </c>
      <c r="B209">
        <f>IF(A209&lt;=$B$4,$B$3+A209-1,"")</f>
        <v/>
      </c>
      <c r="C209">
        <f>IF(B209="","",INDEX(D_LOT,B209)&amp;"")</f>
        <v/>
      </c>
      <c r="D209">
        <f>IF(B209="","",INDEX(D_SEQ,B209))</f>
        <v/>
      </c>
      <c r="E209">
        <f>IF(B209="","",IFERROR(VALUE(INDEX(D_VAL,B209)&amp;""),""))</f>
        <v/>
      </c>
      <c r="F209">
        <f>IF(B209="","",F208+(C209&lt;&gt;C208))</f>
        <v/>
      </c>
      <c r="G209">
        <f>IF(B209="","",F209&amp;"|"&amp;D209)</f>
        <v/>
      </c>
    </row>
    <row r="210">
      <c r="A210" t="n">
        <v>199</v>
      </c>
      <c r="B210">
        <f>IF(A210&lt;=$B$4,$B$3+A210-1,"")</f>
        <v/>
      </c>
      <c r="C210">
        <f>IF(B210="","",INDEX(D_LOT,B210)&amp;"")</f>
        <v/>
      </c>
      <c r="D210">
        <f>IF(B210="","",INDEX(D_SEQ,B210))</f>
        <v/>
      </c>
      <c r="E210">
        <f>IF(B210="","",IFERROR(VALUE(INDEX(D_VAL,B210)&amp;""),""))</f>
        <v/>
      </c>
      <c r="F210">
        <f>IF(B210="","",F209+(C210&lt;&gt;C209))</f>
        <v/>
      </c>
      <c r="G210">
        <f>IF(B210="","",F210&amp;"|"&amp;D210)</f>
        <v/>
      </c>
    </row>
    <row r="211">
      <c r="A211" t="n">
        <v>200</v>
      </c>
      <c r="B211">
        <f>IF(A211&lt;=$B$4,$B$3+A211-1,"")</f>
        <v/>
      </c>
      <c r="C211">
        <f>IF(B211="","",INDEX(D_LOT,B211)&amp;"")</f>
        <v/>
      </c>
      <c r="D211">
        <f>IF(B211="","",INDEX(D_SEQ,B211))</f>
        <v/>
      </c>
      <c r="E211">
        <f>IF(B211="","",IFERROR(VALUE(INDEX(D_VAL,B211)&amp;""),""))</f>
        <v/>
      </c>
      <c r="F211">
        <f>IF(B211="","",F210+(C211&lt;&gt;C210))</f>
        <v/>
      </c>
      <c r="G211">
        <f>IF(B211="","",F211&amp;"|"&amp;D211)</f>
        <v/>
      </c>
    </row>
    <row r="212">
      <c r="A212" t="n">
        <v>201</v>
      </c>
      <c r="B212">
        <f>IF(A212&lt;=$B$4,$B$3+A212-1,"")</f>
        <v/>
      </c>
      <c r="C212">
        <f>IF(B212="","",INDEX(D_LOT,B212)&amp;"")</f>
        <v/>
      </c>
      <c r="D212">
        <f>IF(B212="","",INDEX(D_SEQ,B212))</f>
        <v/>
      </c>
      <c r="E212">
        <f>IF(B212="","",IFERROR(VALUE(INDEX(D_VAL,B212)&amp;""),""))</f>
        <v/>
      </c>
      <c r="F212">
        <f>IF(B212="","",F211+(C212&lt;&gt;C211))</f>
        <v/>
      </c>
      <c r="G212">
        <f>IF(B212="","",F212&amp;"|"&amp;D212)</f>
        <v/>
      </c>
    </row>
    <row r="213">
      <c r="A213" t="n">
        <v>202</v>
      </c>
      <c r="B213">
        <f>IF(A213&lt;=$B$4,$B$3+A213-1,"")</f>
        <v/>
      </c>
      <c r="C213">
        <f>IF(B213="","",INDEX(D_LOT,B213)&amp;"")</f>
        <v/>
      </c>
      <c r="D213">
        <f>IF(B213="","",INDEX(D_SEQ,B213))</f>
        <v/>
      </c>
      <c r="E213">
        <f>IF(B213="","",IFERROR(VALUE(INDEX(D_VAL,B213)&amp;""),""))</f>
        <v/>
      </c>
      <c r="F213">
        <f>IF(B213="","",F212+(C213&lt;&gt;C212))</f>
        <v/>
      </c>
      <c r="G213">
        <f>IF(B213="","",F213&amp;"|"&amp;D213)</f>
        <v/>
      </c>
    </row>
    <row r="214">
      <c r="A214" t="n">
        <v>203</v>
      </c>
      <c r="B214">
        <f>IF(A214&lt;=$B$4,$B$3+A214-1,"")</f>
        <v/>
      </c>
      <c r="C214">
        <f>IF(B214="","",INDEX(D_LOT,B214)&amp;"")</f>
        <v/>
      </c>
      <c r="D214">
        <f>IF(B214="","",INDEX(D_SEQ,B214))</f>
        <v/>
      </c>
      <c r="E214">
        <f>IF(B214="","",IFERROR(VALUE(INDEX(D_VAL,B214)&amp;""),""))</f>
        <v/>
      </c>
      <c r="F214">
        <f>IF(B214="","",F213+(C214&lt;&gt;C213))</f>
        <v/>
      </c>
      <c r="G214">
        <f>IF(B214="","",F214&amp;"|"&amp;D214)</f>
        <v/>
      </c>
    </row>
    <row r="215">
      <c r="A215" t="n">
        <v>204</v>
      </c>
      <c r="B215">
        <f>IF(A215&lt;=$B$4,$B$3+A215-1,"")</f>
        <v/>
      </c>
      <c r="C215">
        <f>IF(B215="","",INDEX(D_LOT,B215)&amp;"")</f>
        <v/>
      </c>
      <c r="D215">
        <f>IF(B215="","",INDEX(D_SEQ,B215))</f>
        <v/>
      </c>
      <c r="E215">
        <f>IF(B215="","",IFERROR(VALUE(INDEX(D_VAL,B215)&amp;""),""))</f>
        <v/>
      </c>
      <c r="F215">
        <f>IF(B215="","",F214+(C215&lt;&gt;C214))</f>
        <v/>
      </c>
      <c r="G215">
        <f>IF(B215="","",F215&amp;"|"&amp;D215)</f>
        <v/>
      </c>
    </row>
    <row r="216">
      <c r="A216" t="n">
        <v>205</v>
      </c>
      <c r="B216">
        <f>IF(A216&lt;=$B$4,$B$3+A216-1,"")</f>
        <v/>
      </c>
      <c r="C216">
        <f>IF(B216="","",INDEX(D_LOT,B216)&amp;"")</f>
        <v/>
      </c>
      <c r="D216">
        <f>IF(B216="","",INDEX(D_SEQ,B216))</f>
        <v/>
      </c>
      <c r="E216">
        <f>IF(B216="","",IFERROR(VALUE(INDEX(D_VAL,B216)&amp;""),""))</f>
        <v/>
      </c>
      <c r="F216">
        <f>IF(B216="","",F215+(C216&lt;&gt;C215))</f>
        <v/>
      </c>
      <c r="G216">
        <f>IF(B216="","",F216&amp;"|"&amp;D216)</f>
        <v/>
      </c>
    </row>
    <row r="217">
      <c r="A217" t="n">
        <v>206</v>
      </c>
      <c r="B217">
        <f>IF(A217&lt;=$B$4,$B$3+A217-1,"")</f>
        <v/>
      </c>
      <c r="C217">
        <f>IF(B217="","",INDEX(D_LOT,B217)&amp;"")</f>
        <v/>
      </c>
      <c r="D217">
        <f>IF(B217="","",INDEX(D_SEQ,B217))</f>
        <v/>
      </c>
      <c r="E217">
        <f>IF(B217="","",IFERROR(VALUE(INDEX(D_VAL,B217)&amp;""),""))</f>
        <v/>
      </c>
      <c r="F217">
        <f>IF(B217="","",F216+(C217&lt;&gt;C216))</f>
        <v/>
      </c>
      <c r="G217">
        <f>IF(B217="","",F217&amp;"|"&amp;D217)</f>
        <v/>
      </c>
    </row>
    <row r="218">
      <c r="A218" t="n">
        <v>207</v>
      </c>
      <c r="B218">
        <f>IF(A218&lt;=$B$4,$B$3+A218-1,"")</f>
        <v/>
      </c>
      <c r="C218">
        <f>IF(B218="","",INDEX(D_LOT,B218)&amp;"")</f>
        <v/>
      </c>
      <c r="D218">
        <f>IF(B218="","",INDEX(D_SEQ,B218))</f>
        <v/>
      </c>
      <c r="E218">
        <f>IF(B218="","",IFERROR(VALUE(INDEX(D_VAL,B218)&amp;""),""))</f>
        <v/>
      </c>
      <c r="F218">
        <f>IF(B218="","",F217+(C218&lt;&gt;C217))</f>
        <v/>
      </c>
      <c r="G218">
        <f>IF(B218="","",F218&amp;"|"&amp;D218)</f>
        <v/>
      </c>
    </row>
    <row r="219">
      <c r="A219" t="n">
        <v>208</v>
      </c>
      <c r="B219">
        <f>IF(A219&lt;=$B$4,$B$3+A219-1,"")</f>
        <v/>
      </c>
      <c r="C219">
        <f>IF(B219="","",INDEX(D_LOT,B219)&amp;"")</f>
        <v/>
      </c>
      <c r="D219">
        <f>IF(B219="","",INDEX(D_SEQ,B219))</f>
        <v/>
      </c>
      <c r="E219">
        <f>IF(B219="","",IFERROR(VALUE(INDEX(D_VAL,B219)&amp;""),""))</f>
        <v/>
      </c>
      <c r="F219">
        <f>IF(B219="","",F218+(C219&lt;&gt;C218))</f>
        <v/>
      </c>
      <c r="G219">
        <f>IF(B219="","",F219&amp;"|"&amp;D219)</f>
        <v/>
      </c>
    </row>
    <row r="220">
      <c r="A220" t="n">
        <v>209</v>
      </c>
      <c r="B220">
        <f>IF(A220&lt;=$B$4,$B$3+A220-1,"")</f>
        <v/>
      </c>
      <c r="C220">
        <f>IF(B220="","",INDEX(D_LOT,B220)&amp;"")</f>
        <v/>
      </c>
      <c r="D220">
        <f>IF(B220="","",INDEX(D_SEQ,B220))</f>
        <v/>
      </c>
      <c r="E220">
        <f>IF(B220="","",IFERROR(VALUE(INDEX(D_VAL,B220)&amp;""),""))</f>
        <v/>
      </c>
      <c r="F220">
        <f>IF(B220="","",F219+(C220&lt;&gt;C219))</f>
        <v/>
      </c>
      <c r="G220">
        <f>IF(B220="","",F220&amp;"|"&amp;D220)</f>
        <v/>
      </c>
    </row>
    <row r="221">
      <c r="A221" t="n">
        <v>210</v>
      </c>
      <c r="B221">
        <f>IF(A221&lt;=$B$4,$B$3+A221-1,"")</f>
        <v/>
      </c>
      <c r="C221">
        <f>IF(B221="","",INDEX(D_LOT,B221)&amp;"")</f>
        <v/>
      </c>
      <c r="D221">
        <f>IF(B221="","",INDEX(D_SEQ,B221))</f>
        <v/>
      </c>
      <c r="E221">
        <f>IF(B221="","",IFERROR(VALUE(INDEX(D_VAL,B221)&amp;""),""))</f>
        <v/>
      </c>
      <c r="F221">
        <f>IF(B221="","",F220+(C221&lt;&gt;C220))</f>
        <v/>
      </c>
      <c r="G221">
        <f>IF(B221="","",F221&amp;"|"&amp;D221)</f>
        <v/>
      </c>
    </row>
    <row r="222">
      <c r="A222" t="n">
        <v>211</v>
      </c>
      <c r="B222">
        <f>IF(A222&lt;=$B$4,$B$3+A222-1,"")</f>
        <v/>
      </c>
      <c r="C222">
        <f>IF(B222="","",INDEX(D_LOT,B222)&amp;"")</f>
        <v/>
      </c>
      <c r="D222">
        <f>IF(B222="","",INDEX(D_SEQ,B222))</f>
        <v/>
      </c>
      <c r="E222">
        <f>IF(B222="","",IFERROR(VALUE(INDEX(D_VAL,B222)&amp;""),""))</f>
        <v/>
      </c>
      <c r="F222">
        <f>IF(B222="","",F221+(C222&lt;&gt;C221))</f>
        <v/>
      </c>
      <c r="G222">
        <f>IF(B222="","",F222&amp;"|"&amp;D222)</f>
        <v/>
      </c>
    </row>
    <row r="223">
      <c r="A223" t="n">
        <v>212</v>
      </c>
      <c r="B223">
        <f>IF(A223&lt;=$B$4,$B$3+A223-1,"")</f>
        <v/>
      </c>
      <c r="C223">
        <f>IF(B223="","",INDEX(D_LOT,B223)&amp;"")</f>
        <v/>
      </c>
      <c r="D223">
        <f>IF(B223="","",INDEX(D_SEQ,B223))</f>
        <v/>
      </c>
      <c r="E223">
        <f>IF(B223="","",IFERROR(VALUE(INDEX(D_VAL,B223)&amp;""),""))</f>
        <v/>
      </c>
      <c r="F223">
        <f>IF(B223="","",F222+(C223&lt;&gt;C222))</f>
        <v/>
      </c>
      <c r="G223">
        <f>IF(B223="","",F223&amp;"|"&amp;D223)</f>
        <v/>
      </c>
    </row>
    <row r="224">
      <c r="A224" t="n">
        <v>213</v>
      </c>
      <c r="B224">
        <f>IF(A224&lt;=$B$4,$B$3+A224-1,"")</f>
        <v/>
      </c>
      <c r="C224">
        <f>IF(B224="","",INDEX(D_LOT,B224)&amp;"")</f>
        <v/>
      </c>
      <c r="D224">
        <f>IF(B224="","",INDEX(D_SEQ,B224))</f>
        <v/>
      </c>
      <c r="E224">
        <f>IF(B224="","",IFERROR(VALUE(INDEX(D_VAL,B224)&amp;""),""))</f>
        <v/>
      </c>
      <c r="F224">
        <f>IF(B224="","",F223+(C224&lt;&gt;C223))</f>
        <v/>
      </c>
      <c r="G224">
        <f>IF(B224="","",F224&amp;"|"&amp;D224)</f>
        <v/>
      </c>
    </row>
    <row r="225">
      <c r="A225" t="n">
        <v>214</v>
      </c>
      <c r="B225">
        <f>IF(A225&lt;=$B$4,$B$3+A225-1,"")</f>
        <v/>
      </c>
      <c r="C225">
        <f>IF(B225="","",INDEX(D_LOT,B225)&amp;"")</f>
        <v/>
      </c>
      <c r="D225">
        <f>IF(B225="","",INDEX(D_SEQ,B225))</f>
        <v/>
      </c>
      <c r="E225">
        <f>IF(B225="","",IFERROR(VALUE(INDEX(D_VAL,B225)&amp;""),""))</f>
        <v/>
      </c>
      <c r="F225">
        <f>IF(B225="","",F224+(C225&lt;&gt;C224))</f>
        <v/>
      </c>
      <c r="G225">
        <f>IF(B225="","",F225&amp;"|"&amp;D225)</f>
        <v/>
      </c>
    </row>
    <row r="226">
      <c r="A226" t="n">
        <v>215</v>
      </c>
      <c r="B226">
        <f>IF(A226&lt;=$B$4,$B$3+A226-1,"")</f>
        <v/>
      </c>
      <c r="C226">
        <f>IF(B226="","",INDEX(D_LOT,B226)&amp;"")</f>
        <v/>
      </c>
      <c r="D226">
        <f>IF(B226="","",INDEX(D_SEQ,B226))</f>
        <v/>
      </c>
      <c r="E226">
        <f>IF(B226="","",IFERROR(VALUE(INDEX(D_VAL,B226)&amp;""),""))</f>
        <v/>
      </c>
      <c r="F226">
        <f>IF(B226="","",F225+(C226&lt;&gt;C225))</f>
        <v/>
      </c>
      <c r="G226">
        <f>IF(B226="","",F226&amp;"|"&amp;D226)</f>
        <v/>
      </c>
    </row>
    <row r="227">
      <c r="A227" t="n">
        <v>216</v>
      </c>
      <c r="B227">
        <f>IF(A227&lt;=$B$4,$B$3+A227-1,"")</f>
        <v/>
      </c>
      <c r="C227">
        <f>IF(B227="","",INDEX(D_LOT,B227)&amp;"")</f>
        <v/>
      </c>
      <c r="D227">
        <f>IF(B227="","",INDEX(D_SEQ,B227))</f>
        <v/>
      </c>
      <c r="E227">
        <f>IF(B227="","",IFERROR(VALUE(INDEX(D_VAL,B227)&amp;""),""))</f>
        <v/>
      </c>
      <c r="F227">
        <f>IF(B227="","",F226+(C227&lt;&gt;C226))</f>
        <v/>
      </c>
      <c r="G227">
        <f>IF(B227="","",F227&amp;"|"&amp;D227)</f>
        <v/>
      </c>
    </row>
    <row r="228">
      <c r="A228" t="n">
        <v>217</v>
      </c>
      <c r="B228">
        <f>IF(A228&lt;=$B$4,$B$3+A228-1,"")</f>
        <v/>
      </c>
      <c r="C228">
        <f>IF(B228="","",INDEX(D_LOT,B228)&amp;"")</f>
        <v/>
      </c>
      <c r="D228">
        <f>IF(B228="","",INDEX(D_SEQ,B228))</f>
        <v/>
      </c>
      <c r="E228">
        <f>IF(B228="","",IFERROR(VALUE(INDEX(D_VAL,B228)&amp;""),""))</f>
        <v/>
      </c>
      <c r="F228">
        <f>IF(B228="","",F227+(C228&lt;&gt;C227))</f>
        <v/>
      </c>
      <c r="G228">
        <f>IF(B228="","",F228&amp;"|"&amp;D228)</f>
        <v/>
      </c>
    </row>
    <row r="229">
      <c r="A229" t="n">
        <v>218</v>
      </c>
      <c r="B229">
        <f>IF(A229&lt;=$B$4,$B$3+A229-1,"")</f>
        <v/>
      </c>
      <c r="C229">
        <f>IF(B229="","",INDEX(D_LOT,B229)&amp;"")</f>
        <v/>
      </c>
      <c r="D229">
        <f>IF(B229="","",INDEX(D_SEQ,B229))</f>
        <v/>
      </c>
      <c r="E229">
        <f>IF(B229="","",IFERROR(VALUE(INDEX(D_VAL,B229)&amp;""),""))</f>
        <v/>
      </c>
      <c r="F229">
        <f>IF(B229="","",F228+(C229&lt;&gt;C228))</f>
        <v/>
      </c>
      <c r="G229">
        <f>IF(B229="","",F229&amp;"|"&amp;D229)</f>
        <v/>
      </c>
    </row>
    <row r="230">
      <c r="A230" t="n">
        <v>219</v>
      </c>
      <c r="B230">
        <f>IF(A230&lt;=$B$4,$B$3+A230-1,"")</f>
        <v/>
      </c>
      <c r="C230">
        <f>IF(B230="","",INDEX(D_LOT,B230)&amp;"")</f>
        <v/>
      </c>
      <c r="D230">
        <f>IF(B230="","",INDEX(D_SEQ,B230))</f>
        <v/>
      </c>
      <c r="E230">
        <f>IF(B230="","",IFERROR(VALUE(INDEX(D_VAL,B230)&amp;""),""))</f>
        <v/>
      </c>
      <c r="F230">
        <f>IF(B230="","",F229+(C230&lt;&gt;C229))</f>
        <v/>
      </c>
      <c r="G230">
        <f>IF(B230="","",F230&amp;"|"&amp;D230)</f>
        <v/>
      </c>
    </row>
    <row r="231">
      <c r="A231" t="n">
        <v>220</v>
      </c>
      <c r="B231">
        <f>IF(A231&lt;=$B$4,$B$3+A231-1,"")</f>
        <v/>
      </c>
      <c r="C231">
        <f>IF(B231="","",INDEX(D_LOT,B231)&amp;"")</f>
        <v/>
      </c>
      <c r="D231">
        <f>IF(B231="","",INDEX(D_SEQ,B231))</f>
        <v/>
      </c>
      <c r="E231">
        <f>IF(B231="","",IFERROR(VALUE(INDEX(D_VAL,B231)&amp;""),""))</f>
        <v/>
      </c>
      <c r="F231">
        <f>IF(B231="","",F230+(C231&lt;&gt;C230))</f>
        <v/>
      </c>
      <c r="G231">
        <f>IF(B231="","",F231&amp;"|"&amp;D231)</f>
        <v/>
      </c>
    </row>
    <row r="232">
      <c r="A232" t="n">
        <v>221</v>
      </c>
      <c r="B232">
        <f>IF(A232&lt;=$B$4,$B$3+A232-1,"")</f>
        <v/>
      </c>
      <c r="C232">
        <f>IF(B232="","",INDEX(D_LOT,B232)&amp;"")</f>
        <v/>
      </c>
      <c r="D232">
        <f>IF(B232="","",INDEX(D_SEQ,B232))</f>
        <v/>
      </c>
      <c r="E232">
        <f>IF(B232="","",IFERROR(VALUE(INDEX(D_VAL,B232)&amp;""),""))</f>
        <v/>
      </c>
      <c r="F232">
        <f>IF(B232="","",F231+(C232&lt;&gt;C231))</f>
        <v/>
      </c>
      <c r="G232">
        <f>IF(B232="","",F232&amp;"|"&amp;D232)</f>
        <v/>
      </c>
    </row>
    <row r="233">
      <c r="A233" t="n">
        <v>222</v>
      </c>
      <c r="B233">
        <f>IF(A233&lt;=$B$4,$B$3+A233-1,"")</f>
        <v/>
      </c>
      <c r="C233">
        <f>IF(B233="","",INDEX(D_LOT,B233)&amp;"")</f>
        <v/>
      </c>
      <c r="D233">
        <f>IF(B233="","",INDEX(D_SEQ,B233))</f>
        <v/>
      </c>
      <c r="E233">
        <f>IF(B233="","",IFERROR(VALUE(INDEX(D_VAL,B233)&amp;""),""))</f>
        <v/>
      </c>
      <c r="F233">
        <f>IF(B233="","",F232+(C233&lt;&gt;C232))</f>
        <v/>
      </c>
      <c r="G233">
        <f>IF(B233="","",F233&amp;"|"&amp;D233)</f>
        <v/>
      </c>
    </row>
    <row r="234">
      <c r="A234" t="n">
        <v>223</v>
      </c>
      <c r="B234">
        <f>IF(A234&lt;=$B$4,$B$3+A234-1,"")</f>
        <v/>
      </c>
      <c r="C234">
        <f>IF(B234="","",INDEX(D_LOT,B234)&amp;"")</f>
        <v/>
      </c>
      <c r="D234">
        <f>IF(B234="","",INDEX(D_SEQ,B234))</f>
        <v/>
      </c>
      <c r="E234">
        <f>IF(B234="","",IFERROR(VALUE(INDEX(D_VAL,B234)&amp;""),""))</f>
        <v/>
      </c>
      <c r="F234">
        <f>IF(B234="","",F233+(C234&lt;&gt;C233))</f>
        <v/>
      </c>
      <c r="G234">
        <f>IF(B234="","",F234&amp;"|"&amp;D234)</f>
        <v/>
      </c>
    </row>
    <row r="235">
      <c r="A235" t="n">
        <v>224</v>
      </c>
      <c r="B235">
        <f>IF(A235&lt;=$B$4,$B$3+A235-1,"")</f>
        <v/>
      </c>
      <c r="C235">
        <f>IF(B235="","",INDEX(D_LOT,B235)&amp;"")</f>
        <v/>
      </c>
      <c r="D235">
        <f>IF(B235="","",INDEX(D_SEQ,B235))</f>
        <v/>
      </c>
      <c r="E235">
        <f>IF(B235="","",IFERROR(VALUE(INDEX(D_VAL,B235)&amp;""),""))</f>
        <v/>
      </c>
      <c r="F235">
        <f>IF(B235="","",F234+(C235&lt;&gt;C234))</f>
        <v/>
      </c>
      <c r="G235">
        <f>IF(B235="","",F235&amp;"|"&amp;D235)</f>
        <v/>
      </c>
    </row>
    <row r="236">
      <c r="A236" t="n">
        <v>225</v>
      </c>
      <c r="B236">
        <f>IF(A236&lt;=$B$4,$B$3+A236-1,"")</f>
        <v/>
      </c>
      <c r="C236">
        <f>IF(B236="","",INDEX(D_LOT,B236)&amp;"")</f>
        <v/>
      </c>
      <c r="D236">
        <f>IF(B236="","",INDEX(D_SEQ,B236))</f>
        <v/>
      </c>
      <c r="E236">
        <f>IF(B236="","",IFERROR(VALUE(INDEX(D_VAL,B236)&amp;""),""))</f>
        <v/>
      </c>
      <c r="F236">
        <f>IF(B236="","",F235+(C236&lt;&gt;C235))</f>
        <v/>
      </c>
      <c r="G236">
        <f>IF(B236="","",F236&amp;"|"&amp;D236)</f>
        <v/>
      </c>
    </row>
    <row r="237">
      <c r="A237" t="n">
        <v>226</v>
      </c>
      <c r="B237">
        <f>IF(A237&lt;=$B$4,$B$3+A237-1,"")</f>
        <v/>
      </c>
      <c r="C237">
        <f>IF(B237="","",INDEX(D_LOT,B237)&amp;"")</f>
        <v/>
      </c>
      <c r="D237">
        <f>IF(B237="","",INDEX(D_SEQ,B237))</f>
        <v/>
      </c>
      <c r="E237">
        <f>IF(B237="","",IFERROR(VALUE(INDEX(D_VAL,B237)&amp;""),""))</f>
        <v/>
      </c>
      <c r="F237">
        <f>IF(B237="","",F236+(C237&lt;&gt;C236))</f>
        <v/>
      </c>
      <c r="G237">
        <f>IF(B237="","",F237&amp;"|"&amp;D237)</f>
        <v/>
      </c>
    </row>
    <row r="238">
      <c r="A238" t="n">
        <v>227</v>
      </c>
      <c r="B238">
        <f>IF(A238&lt;=$B$4,$B$3+A238-1,"")</f>
        <v/>
      </c>
      <c r="C238">
        <f>IF(B238="","",INDEX(D_LOT,B238)&amp;"")</f>
        <v/>
      </c>
      <c r="D238">
        <f>IF(B238="","",INDEX(D_SEQ,B238))</f>
        <v/>
      </c>
      <c r="E238">
        <f>IF(B238="","",IFERROR(VALUE(INDEX(D_VAL,B238)&amp;""),""))</f>
        <v/>
      </c>
      <c r="F238">
        <f>IF(B238="","",F237+(C238&lt;&gt;C237))</f>
        <v/>
      </c>
      <c r="G238">
        <f>IF(B238="","",F238&amp;"|"&amp;D238)</f>
        <v/>
      </c>
    </row>
    <row r="239">
      <c r="A239" t="n">
        <v>228</v>
      </c>
      <c r="B239">
        <f>IF(A239&lt;=$B$4,$B$3+A239-1,"")</f>
        <v/>
      </c>
      <c r="C239">
        <f>IF(B239="","",INDEX(D_LOT,B239)&amp;"")</f>
        <v/>
      </c>
      <c r="D239">
        <f>IF(B239="","",INDEX(D_SEQ,B239))</f>
        <v/>
      </c>
      <c r="E239">
        <f>IF(B239="","",IFERROR(VALUE(INDEX(D_VAL,B239)&amp;""),""))</f>
        <v/>
      </c>
      <c r="F239">
        <f>IF(B239="","",F238+(C239&lt;&gt;C238))</f>
        <v/>
      </c>
      <c r="G239">
        <f>IF(B239="","",F239&amp;"|"&amp;D239)</f>
        <v/>
      </c>
    </row>
    <row r="240">
      <c r="A240" t="n">
        <v>229</v>
      </c>
      <c r="B240">
        <f>IF(A240&lt;=$B$4,$B$3+A240-1,"")</f>
        <v/>
      </c>
      <c r="C240">
        <f>IF(B240="","",INDEX(D_LOT,B240)&amp;"")</f>
        <v/>
      </c>
      <c r="D240">
        <f>IF(B240="","",INDEX(D_SEQ,B240))</f>
        <v/>
      </c>
      <c r="E240">
        <f>IF(B240="","",IFERROR(VALUE(INDEX(D_VAL,B240)&amp;""),""))</f>
        <v/>
      </c>
      <c r="F240">
        <f>IF(B240="","",F239+(C240&lt;&gt;C239))</f>
        <v/>
      </c>
      <c r="G240">
        <f>IF(B240="","",F240&amp;"|"&amp;D240)</f>
        <v/>
      </c>
    </row>
    <row r="241">
      <c r="A241" t="n">
        <v>230</v>
      </c>
      <c r="B241">
        <f>IF(A241&lt;=$B$4,$B$3+A241-1,"")</f>
        <v/>
      </c>
      <c r="C241">
        <f>IF(B241="","",INDEX(D_LOT,B241)&amp;"")</f>
        <v/>
      </c>
      <c r="D241">
        <f>IF(B241="","",INDEX(D_SEQ,B241))</f>
        <v/>
      </c>
      <c r="E241">
        <f>IF(B241="","",IFERROR(VALUE(INDEX(D_VAL,B241)&amp;""),""))</f>
        <v/>
      </c>
      <c r="F241">
        <f>IF(B241="","",F240+(C241&lt;&gt;C240))</f>
        <v/>
      </c>
      <c r="G241">
        <f>IF(B241="","",F241&amp;"|"&amp;D241)</f>
        <v/>
      </c>
    </row>
    <row r="242">
      <c r="A242" t="n">
        <v>231</v>
      </c>
      <c r="B242">
        <f>IF(A242&lt;=$B$4,$B$3+A242-1,"")</f>
        <v/>
      </c>
      <c r="C242">
        <f>IF(B242="","",INDEX(D_LOT,B242)&amp;"")</f>
        <v/>
      </c>
      <c r="D242">
        <f>IF(B242="","",INDEX(D_SEQ,B242))</f>
        <v/>
      </c>
      <c r="E242">
        <f>IF(B242="","",IFERROR(VALUE(INDEX(D_VAL,B242)&amp;""),""))</f>
        <v/>
      </c>
      <c r="F242">
        <f>IF(B242="","",F241+(C242&lt;&gt;C241))</f>
        <v/>
      </c>
      <c r="G242">
        <f>IF(B242="","",F242&amp;"|"&amp;D242)</f>
        <v/>
      </c>
    </row>
    <row r="243">
      <c r="A243" t="n">
        <v>232</v>
      </c>
      <c r="B243">
        <f>IF(A243&lt;=$B$4,$B$3+A243-1,"")</f>
        <v/>
      </c>
      <c r="C243">
        <f>IF(B243="","",INDEX(D_LOT,B243)&amp;"")</f>
        <v/>
      </c>
      <c r="D243">
        <f>IF(B243="","",INDEX(D_SEQ,B243))</f>
        <v/>
      </c>
      <c r="E243">
        <f>IF(B243="","",IFERROR(VALUE(INDEX(D_VAL,B243)&amp;""),""))</f>
        <v/>
      </c>
      <c r="F243">
        <f>IF(B243="","",F242+(C243&lt;&gt;C242))</f>
        <v/>
      </c>
      <c r="G243">
        <f>IF(B243="","",F243&amp;"|"&amp;D243)</f>
        <v/>
      </c>
    </row>
    <row r="244">
      <c r="A244" t="n">
        <v>233</v>
      </c>
      <c r="B244">
        <f>IF(A244&lt;=$B$4,$B$3+A244-1,"")</f>
        <v/>
      </c>
      <c r="C244">
        <f>IF(B244="","",INDEX(D_LOT,B244)&amp;"")</f>
        <v/>
      </c>
      <c r="D244">
        <f>IF(B244="","",INDEX(D_SEQ,B244))</f>
        <v/>
      </c>
      <c r="E244">
        <f>IF(B244="","",IFERROR(VALUE(INDEX(D_VAL,B244)&amp;""),""))</f>
        <v/>
      </c>
      <c r="F244">
        <f>IF(B244="","",F243+(C244&lt;&gt;C243))</f>
        <v/>
      </c>
      <c r="G244">
        <f>IF(B244="","",F244&amp;"|"&amp;D244)</f>
        <v/>
      </c>
    </row>
    <row r="245">
      <c r="A245" t="n">
        <v>234</v>
      </c>
      <c r="B245">
        <f>IF(A245&lt;=$B$4,$B$3+A245-1,"")</f>
        <v/>
      </c>
      <c r="C245">
        <f>IF(B245="","",INDEX(D_LOT,B245)&amp;"")</f>
        <v/>
      </c>
      <c r="D245">
        <f>IF(B245="","",INDEX(D_SEQ,B245))</f>
        <v/>
      </c>
      <c r="E245">
        <f>IF(B245="","",IFERROR(VALUE(INDEX(D_VAL,B245)&amp;""),""))</f>
        <v/>
      </c>
      <c r="F245">
        <f>IF(B245="","",F244+(C245&lt;&gt;C244))</f>
        <v/>
      </c>
      <c r="G245">
        <f>IF(B245="","",F245&amp;"|"&amp;D245)</f>
        <v/>
      </c>
    </row>
    <row r="246">
      <c r="A246" t="n">
        <v>235</v>
      </c>
      <c r="B246">
        <f>IF(A246&lt;=$B$4,$B$3+A246-1,"")</f>
        <v/>
      </c>
      <c r="C246">
        <f>IF(B246="","",INDEX(D_LOT,B246)&amp;"")</f>
        <v/>
      </c>
      <c r="D246">
        <f>IF(B246="","",INDEX(D_SEQ,B246))</f>
        <v/>
      </c>
      <c r="E246">
        <f>IF(B246="","",IFERROR(VALUE(INDEX(D_VAL,B246)&amp;""),""))</f>
        <v/>
      </c>
      <c r="F246">
        <f>IF(B246="","",F245+(C246&lt;&gt;C245))</f>
        <v/>
      </c>
      <c r="G246">
        <f>IF(B246="","",F246&amp;"|"&amp;D246)</f>
        <v/>
      </c>
    </row>
    <row r="247">
      <c r="A247" t="n">
        <v>236</v>
      </c>
      <c r="B247">
        <f>IF(A247&lt;=$B$4,$B$3+A247-1,"")</f>
        <v/>
      </c>
      <c r="C247">
        <f>IF(B247="","",INDEX(D_LOT,B247)&amp;"")</f>
        <v/>
      </c>
      <c r="D247">
        <f>IF(B247="","",INDEX(D_SEQ,B247))</f>
        <v/>
      </c>
      <c r="E247">
        <f>IF(B247="","",IFERROR(VALUE(INDEX(D_VAL,B247)&amp;""),""))</f>
        <v/>
      </c>
      <c r="F247">
        <f>IF(B247="","",F246+(C247&lt;&gt;C246))</f>
        <v/>
      </c>
      <c r="G247">
        <f>IF(B247="","",F247&amp;"|"&amp;D247)</f>
        <v/>
      </c>
    </row>
    <row r="248">
      <c r="A248" t="n">
        <v>237</v>
      </c>
      <c r="B248">
        <f>IF(A248&lt;=$B$4,$B$3+A248-1,"")</f>
        <v/>
      </c>
      <c r="C248">
        <f>IF(B248="","",INDEX(D_LOT,B248)&amp;"")</f>
        <v/>
      </c>
      <c r="D248">
        <f>IF(B248="","",INDEX(D_SEQ,B248))</f>
        <v/>
      </c>
      <c r="E248">
        <f>IF(B248="","",IFERROR(VALUE(INDEX(D_VAL,B248)&amp;""),""))</f>
        <v/>
      </c>
      <c r="F248">
        <f>IF(B248="","",F247+(C248&lt;&gt;C247))</f>
        <v/>
      </c>
      <c r="G248">
        <f>IF(B248="","",F248&amp;"|"&amp;D248)</f>
        <v/>
      </c>
    </row>
    <row r="249">
      <c r="A249" t="n">
        <v>238</v>
      </c>
      <c r="B249">
        <f>IF(A249&lt;=$B$4,$B$3+A249-1,"")</f>
        <v/>
      </c>
      <c r="C249">
        <f>IF(B249="","",INDEX(D_LOT,B249)&amp;"")</f>
        <v/>
      </c>
      <c r="D249">
        <f>IF(B249="","",INDEX(D_SEQ,B249))</f>
        <v/>
      </c>
      <c r="E249">
        <f>IF(B249="","",IFERROR(VALUE(INDEX(D_VAL,B249)&amp;""),""))</f>
        <v/>
      </c>
      <c r="F249">
        <f>IF(B249="","",F248+(C249&lt;&gt;C248))</f>
        <v/>
      </c>
      <c r="G249">
        <f>IF(B249="","",F249&amp;"|"&amp;D249)</f>
        <v/>
      </c>
    </row>
    <row r="250">
      <c r="A250" t="n">
        <v>239</v>
      </c>
      <c r="B250">
        <f>IF(A250&lt;=$B$4,$B$3+A250-1,"")</f>
        <v/>
      </c>
      <c r="C250">
        <f>IF(B250="","",INDEX(D_LOT,B250)&amp;"")</f>
        <v/>
      </c>
      <c r="D250">
        <f>IF(B250="","",INDEX(D_SEQ,B250))</f>
        <v/>
      </c>
      <c r="E250">
        <f>IF(B250="","",IFERROR(VALUE(INDEX(D_VAL,B250)&amp;""),""))</f>
        <v/>
      </c>
      <c r="F250">
        <f>IF(B250="","",F249+(C250&lt;&gt;C249))</f>
        <v/>
      </c>
      <c r="G250">
        <f>IF(B250="","",F250&amp;"|"&amp;D250)</f>
        <v/>
      </c>
    </row>
    <row r="251">
      <c r="A251" t="n">
        <v>240</v>
      </c>
      <c r="B251">
        <f>IF(A251&lt;=$B$4,$B$3+A251-1,"")</f>
        <v/>
      </c>
      <c r="C251">
        <f>IF(B251="","",INDEX(D_LOT,B251)&amp;"")</f>
        <v/>
      </c>
      <c r="D251">
        <f>IF(B251="","",INDEX(D_SEQ,B251))</f>
        <v/>
      </c>
      <c r="E251">
        <f>IF(B251="","",IFERROR(VALUE(INDEX(D_VAL,B251)&amp;""),""))</f>
        <v/>
      </c>
      <c r="F251">
        <f>IF(B251="","",F250+(C251&lt;&gt;C250))</f>
        <v/>
      </c>
      <c r="G251">
        <f>IF(B251="","",F251&amp;"|"&amp;D251)</f>
        <v/>
      </c>
    </row>
    <row r="252">
      <c r="A252" t="n">
        <v>241</v>
      </c>
      <c r="B252">
        <f>IF(A252&lt;=$B$4,$B$3+A252-1,"")</f>
        <v/>
      </c>
      <c r="C252">
        <f>IF(B252="","",INDEX(D_LOT,B252)&amp;"")</f>
        <v/>
      </c>
      <c r="D252">
        <f>IF(B252="","",INDEX(D_SEQ,B252))</f>
        <v/>
      </c>
      <c r="E252">
        <f>IF(B252="","",IFERROR(VALUE(INDEX(D_VAL,B252)&amp;""),""))</f>
        <v/>
      </c>
      <c r="F252">
        <f>IF(B252="","",F251+(C252&lt;&gt;C251))</f>
        <v/>
      </c>
      <c r="G252">
        <f>IF(B252="","",F252&amp;"|"&amp;D252)</f>
        <v/>
      </c>
    </row>
    <row r="253">
      <c r="A253" t="n">
        <v>242</v>
      </c>
      <c r="B253">
        <f>IF(A253&lt;=$B$4,$B$3+A253-1,"")</f>
        <v/>
      </c>
      <c r="C253">
        <f>IF(B253="","",INDEX(D_LOT,B253)&amp;"")</f>
        <v/>
      </c>
      <c r="D253">
        <f>IF(B253="","",INDEX(D_SEQ,B253))</f>
        <v/>
      </c>
      <c r="E253">
        <f>IF(B253="","",IFERROR(VALUE(INDEX(D_VAL,B253)&amp;""),""))</f>
        <v/>
      </c>
      <c r="F253">
        <f>IF(B253="","",F252+(C253&lt;&gt;C252))</f>
        <v/>
      </c>
      <c r="G253">
        <f>IF(B253="","",F253&amp;"|"&amp;D253)</f>
        <v/>
      </c>
    </row>
    <row r="254">
      <c r="A254" t="n">
        <v>243</v>
      </c>
      <c r="B254">
        <f>IF(A254&lt;=$B$4,$B$3+A254-1,"")</f>
        <v/>
      </c>
      <c r="C254">
        <f>IF(B254="","",INDEX(D_LOT,B254)&amp;"")</f>
        <v/>
      </c>
      <c r="D254">
        <f>IF(B254="","",INDEX(D_SEQ,B254))</f>
        <v/>
      </c>
      <c r="E254">
        <f>IF(B254="","",IFERROR(VALUE(INDEX(D_VAL,B254)&amp;""),""))</f>
        <v/>
      </c>
      <c r="F254">
        <f>IF(B254="","",F253+(C254&lt;&gt;C253))</f>
        <v/>
      </c>
      <c r="G254">
        <f>IF(B254="","",F254&amp;"|"&amp;D254)</f>
        <v/>
      </c>
    </row>
    <row r="255">
      <c r="A255" t="n">
        <v>244</v>
      </c>
      <c r="B255">
        <f>IF(A255&lt;=$B$4,$B$3+A255-1,"")</f>
        <v/>
      </c>
      <c r="C255">
        <f>IF(B255="","",INDEX(D_LOT,B255)&amp;"")</f>
        <v/>
      </c>
      <c r="D255">
        <f>IF(B255="","",INDEX(D_SEQ,B255))</f>
        <v/>
      </c>
      <c r="E255">
        <f>IF(B255="","",IFERROR(VALUE(INDEX(D_VAL,B255)&amp;""),""))</f>
        <v/>
      </c>
      <c r="F255">
        <f>IF(B255="","",F254+(C255&lt;&gt;C254))</f>
        <v/>
      </c>
      <c r="G255">
        <f>IF(B255="","",F255&amp;"|"&amp;D255)</f>
        <v/>
      </c>
    </row>
    <row r="256">
      <c r="A256" t="n">
        <v>245</v>
      </c>
      <c r="B256">
        <f>IF(A256&lt;=$B$4,$B$3+A256-1,"")</f>
        <v/>
      </c>
      <c r="C256">
        <f>IF(B256="","",INDEX(D_LOT,B256)&amp;"")</f>
        <v/>
      </c>
      <c r="D256">
        <f>IF(B256="","",INDEX(D_SEQ,B256))</f>
        <v/>
      </c>
      <c r="E256">
        <f>IF(B256="","",IFERROR(VALUE(INDEX(D_VAL,B256)&amp;""),""))</f>
        <v/>
      </c>
      <c r="F256">
        <f>IF(B256="","",F255+(C256&lt;&gt;C255))</f>
        <v/>
      </c>
      <c r="G256">
        <f>IF(B256="","",F256&amp;"|"&amp;D256)</f>
        <v/>
      </c>
    </row>
    <row r="257">
      <c r="A257" t="n">
        <v>246</v>
      </c>
      <c r="B257">
        <f>IF(A257&lt;=$B$4,$B$3+A257-1,"")</f>
        <v/>
      </c>
      <c r="C257">
        <f>IF(B257="","",INDEX(D_LOT,B257)&amp;"")</f>
        <v/>
      </c>
      <c r="D257">
        <f>IF(B257="","",INDEX(D_SEQ,B257))</f>
        <v/>
      </c>
      <c r="E257">
        <f>IF(B257="","",IFERROR(VALUE(INDEX(D_VAL,B257)&amp;""),""))</f>
        <v/>
      </c>
      <c r="F257">
        <f>IF(B257="","",F256+(C257&lt;&gt;C256))</f>
        <v/>
      </c>
      <c r="G257">
        <f>IF(B257="","",F257&amp;"|"&amp;D257)</f>
        <v/>
      </c>
    </row>
    <row r="258">
      <c r="A258" t="n">
        <v>247</v>
      </c>
      <c r="B258">
        <f>IF(A258&lt;=$B$4,$B$3+A258-1,"")</f>
        <v/>
      </c>
      <c r="C258">
        <f>IF(B258="","",INDEX(D_LOT,B258)&amp;"")</f>
        <v/>
      </c>
      <c r="D258">
        <f>IF(B258="","",INDEX(D_SEQ,B258))</f>
        <v/>
      </c>
      <c r="E258">
        <f>IF(B258="","",IFERROR(VALUE(INDEX(D_VAL,B258)&amp;""),""))</f>
        <v/>
      </c>
      <c r="F258">
        <f>IF(B258="","",F257+(C258&lt;&gt;C257))</f>
        <v/>
      </c>
      <c r="G258">
        <f>IF(B258="","",F258&amp;"|"&amp;D258)</f>
        <v/>
      </c>
    </row>
    <row r="259">
      <c r="A259" t="n">
        <v>248</v>
      </c>
      <c r="B259">
        <f>IF(A259&lt;=$B$4,$B$3+A259-1,"")</f>
        <v/>
      </c>
      <c r="C259">
        <f>IF(B259="","",INDEX(D_LOT,B259)&amp;"")</f>
        <v/>
      </c>
      <c r="D259">
        <f>IF(B259="","",INDEX(D_SEQ,B259))</f>
        <v/>
      </c>
      <c r="E259">
        <f>IF(B259="","",IFERROR(VALUE(INDEX(D_VAL,B259)&amp;""),""))</f>
        <v/>
      </c>
      <c r="F259">
        <f>IF(B259="","",F258+(C259&lt;&gt;C258))</f>
        <v/>
      </c>
      <c r="G259">
        <f>IF(B259="","",F259&amp;"|"&amp;D259)</f>
        <v/>
      </c>
    </row>
    <row r="260">
      <c r="A260" t="n">
        <v>249</v>
      </c>
      <c r="B260">
        <f>IF(A260&lt;=$B$4,$B$3+A260-1,"")</f>
        <v/>
      </c>
      <c r="C260">
        <f>IF(B260="","",INDEX(D_LOT,B260)&amp;"")</f>
        <v/>
      </c>
      <c r="D260">
        <f>IF(B260="","",INDEX(D_SEQ,B260))</f>
        <v/>
      </c>
      <c r="E260">
        <f>IF(B260="","",IFERROR(VALUE(INDEX(D_VAL,B260)&amp;""),""))</f>
        <v/>
      </c>
      <c r="F260">
        <f>IF(B260="","",F259+(C260&lt;&gt;C259))</f>
        <v/>
      </c>
      <c r="G260">
        <f>IF(B260="","",F260&amp;"|"&amp;D260)</f>
        <v/>
      </c>
    </row>
    <row r="261">
      <c r="A261" t="n">
        <v>250</v>
      </c>
      <c r="B261">
        <f>IF(A261&lt;=$B$4,$B$3+A261-1,"")</f>
        <v/>
      </c>
      <c r="C261">
        <f>IF(B261="","",INDEX(D_LOT,B261)&amp;"")</f>
        <v/>
      </c>
      <c r="D261">
        <f>IF(B261="","",INDEX(D_SEQ,B261))</f>
        <v/>
      </c>
      <c r="E261">
        <f>IF(B261="","",IFERROR(VALUE(INDEX(D_VAL,B261)&amp;""),""))</f>
        <v/>
      </c>
      <c r="F261">
        <f>IF(B261="","",F260+(C261&lt;&gt;C260))</f>
        <v/>
      </c>
      <c r="G261">
        <f>IF(B261="","",F261&amp;"|"&amp;D261)</f>
        <v/>
      </c>
    </row>
    <row r="262">
      <c r="A262" t="n">
        <v>251</v>
      </c>
      <c r="B262">
        <f>IF(A262&lt;=$B$4,$B$3+A262-1,"")</f>
        <v/>
      </c>
      <c r="C262">
        <f>IF(B262="","",INDEX(D_LOT,B262)&amp;"")</f>
        <v/>
      </c>
      <c r="D262">
        <f>IF(B262="","",INDEX(D_SEQ,B262))</f>
        <v/>
      </c>
      <c r="E262">
        <f>IF(B262="","",IFERROR(VALUE(INDEX(D_VAL,B262)&amp;""),""))</f>
        <v/>
      </c>
      <c r="F262">
        <f>IF(B262="","",F261+(C262&lt;&gt;C261))</f>
        <v/>
      </c>
      <c r="G262">
        <f>IF(B262="","",F262&amp;"|"&amp;D262)</f>
        <v/>
      </c>
    </row>
    <row r="263">
      <c r="A263" t="n">
        <v>252</v>
      </c>
      <c r="B263">
        <f>IF(A263&lt;=$B$4,$B$3+A263-1,"")</f>
        <v/>
      </c>
      <c r="C263">
        <f>IF(B263="","",INDEX(D_LOT,B263)&amp;"")</f>
        <v/>
      </c>
      <c r="D263">
        <f>IF(B263="","",INDEX(D_SEQ,B263))</f>
        <v/>
      </c>
      <c r="E263">
        <f>IF(B263="","",IFERROR(VALUE(INDEX(D_VAL,B263)&amp;""),""))</f>
        <v/>
      </c>
      <c r="F263">
        <f>IF(B263="","",F262+(C263&lt;&gt;C262))</f>
        <v/>
      </c>
      <c r="G263">
        <f>IF(B263="","",F263&amp;"|"&amp;D263)</f>
        <v/>
      </c>
    </row>
    <row r="264">
      <c r="A264" t="n">
        <v>253</v>
      </c>
      <c r="B264">
        <f>IF(A264&lt;=$B$4,$B$3+A264-1,"")</f>
        <v/>
      </c>
      <c r="C264">
        <f>IF(B264="","",INDEX(D_LOT,B264)&amp;"")</f>
        <v/>
      </c>
      <c r="D264">
        <f>IF(B264="","",INDEX(D_SEQ,B264))</f>
        <v/>
      </c>
      <c r="E264">
        <f>IF(B264="","",IFERROR(VALUE(INDEX(D_VAL,B264)&amp;""),""))</f>
        <v/>
      </c>
      <c r="F264">
        <f>IF(B264="","",F263+(C264&lt;&gt;C263))</f>
        <v/>
      </c>
      <c r="G264">
        <f>IF(B264="","",F264&amp;"|"&amp;D264)</f>
        <v/>
      </c>
    </row>
    <row r="265">
      <c r="A265" t="n">
        <v>254</v>
      </c>
      <c r="B265">
        <f>IF(A265&lt;=$B$4,$B$3+A265-1,"")</f>
        <v/>
      </c>
      <c r="C265">
        <f>IF(B265="","",INDEX(D_LOT,B265)&amp;"")</f>
        <v/>
      </c>
      <c r="D265">
        <f>IF(B265="","",INDEX(D_SEQ,B265))</f>
        <v/>
      </c>
      <c r="E265">
        <f>IF(B265="","",IFERROR(VALUE(INDEX(D_VAL,B265)&amp;""),""))</f>
        <v/>
      </c>
      <c r="F265">
        <f>IF(B265="","",F264+(C265&lt;&gt;C264))</f>
        <v/>
      </c>
      <c r="G265">
        <f>IF(B265="","",F265&amp;"|"&amp;D265)</f>
        <v/>
      </c>
    </row>
    <row r="266">
      <c r="A266" t="n">
        <v>255</v>
      </c>
      <c r="B266">
        <f>IF(A266&lt;=$B$4,$B$3+A266-1,"")</f>
        <v/>
      </c>
      <c r="C266">
        <f>IF(B266="","",INDEX(D_LOT,B266)&amp;"")</f>
        <v/>
      </c>
      <c r="D266">
        <f>IF(B266="","",INDEX(D_SEQ,B266))</f>
        <v/>
      </c>
      <c r="E266">
        <f>IF(B266="","",IFERROR(VALUE(INDEX(D_VAL,B266)&amp;""),""))</f>
        <v/>
      </c>
      <c r="F266">
        <f>IF(B266="","",F265+(C266&lt;&gt;C265))</f>
        <v/>
      </c>
      <c r="G266">
        <f>IF(B266="","",F266&amp;"|"&amp;D266)</f>
        <v/>
      </c>
    </row>
    <row r="267">
      <c r="A267" t="n">
        <v>256</v>
      </c>
      <c r="B267">
        <f>IF(A267&lt;=$B$4,$B$3+A267-1,"")</f>
        <v/>
      </c>
      <c r="C267">
        <f>IF(B267="","",INDEX(D_LOT,B267)&amp;"")</f>
        <v/>
      </c>
      <c r="D267">
        <f>IF(B267="","",INDEX(D_SEQ,B267))</f>
        <v/>
      </c>
      <c r="E267">
        <f>IF(B267="","",IFERROR(VALUE(INDEX(D_VAL,B267)&amp;""),""))</f>
        <v/>
      </c>
      <c r="F267">
        <f>IF(B267="","",F266+(C267&lt;&gt;C266))</f>
        <v/>
      </c>
      <c r="G267">
        <f>IF(B267="","",F267&amp;"|"&amp;D267)</f>
        <v/>
      </c>
    </row>
    <row r="268">
      <c r="A268" t="n">
        <v>257</v>
      </c>
      <c r="B268">
        <f>IF(A268&lt;=$B$4,$B$3+A268-1,"")</f>
        <v/>
      </c>
      <c r="C268">
        <f>IF(B268="","",INDEX(D_LOT,B268)&amp;"")</f>
        <v/>
      </c>
      <c r="D268">
        <f>IF(B268="","",INDEX(D_SEQ,B268))</f>
        <v/>
      </c>
      <c r="E268">
        <f>IF(B268="","",IFERROR(VALUE(INDEX(D_VAL,B268)&amp;""),""))</f>
        <v/>
      </c>
      <c r="F268">
        <f>IF(B268="","",F267+(C268&lt;&gt;C267))</f>
        <v/>
      </c>
      <c r="G268">
        <f>IF(B268="","",F268&amp;"|"&amp;D268)</f>
        <v/>
      </c>
    </row>
    <row r="269">
      <c r="A269" t="n">
        <v>258</v>
      </c>
      <c r="B269">
        <f>IF(A269&lt;=$B$4,$B$3+A269-1,"")</f>
        <v/>
      </c>
      <c r="C269">
        <f>IF(B269="","",INDEX(D_LOT,B269)&amp;"")</f>
        <v/>
      </c>
      <c r="D269">
        <f>IF(B269="","",INDEX(D_SEQ,B269))</f>
        <v/>
      </c>
      <c r="E269">
        <f>IF(B269="","",IFERROR(VALUE(INDEX(D_VAL,B269)&amp;""),""))</f>
        <v/>
      </c>
      <c r="F269">
        <f>IF(B269="","",F268+(C269&lt;&gt;C268))</f>
        <v/>
      </c>
      <c r="G269">
        <f>IF(B269="","",F269&amp;"|"&amp;D269)</f>
        <v/>
      </c>
    </row>
    <row r="270">
      <c r="A270" t="n">
        <v>259</v>
      </c>
      <c r="B270">
        <f>IF(A270&lt;=$B$4,$B$3+A270-1,"")</f>
        <v/>
      </c>
      <c r="C270">
        <f>IF(B270="","",INDEX(D_LOT,B270)&amp;"")</f>
        <v/>
      </c>
      <c r="D270">
        <f>IF(B270="","",INDEX(D_SEQ,B270))</f>
        <v/>
      </c>
      <c r="E270">
        <f>IF(B270="","",IFERROR(VALUE(INDEX(D_VAL,B270)&amp;""),""))</f>
        <v/>
      </c>
      <c r="F270">
        <f>IF(B270="","",F269+(C270&lt;&gt;C269))</f>
        <v/>
      </c>
      <c r="G270">
        <f>IF(B270="","",F270&amp;"|"&amp;D270)</f>
        <v/>
      </c>
    </row>
    <row r="271">
      <c r="A271" t="n">
        <v>260</v>
      </c>
      <c r="B271">
        <f>IF(A271&lt;=$B$4,$B$3+A271-1,"")</f>
        <v/>
      </c>
      <c r="C271">
        <f>IF(B271="","",INDEX(D_LOT,B271)&amp;"")</f>
        <v/>
      </c>
      <c r="D271">
        <f>IF(B271="","",INDEX(D_SEQ,B271))</f>
        <v/>
      </c>
      <c r="E271">
        <f>IF(B271="","",IFERROR(VALUE(INDEX(D_VAL,B271)&amp;""),""))</f>
        <v/>
      </c>
      <c r="F271">
        <f>IF(B271="","",F270+(C271&lt;&gt;C270))</f>
        <v/>
      </c>
      <c r="G271">
        <f>IF(B271="","",F271&amp;"|"&amp;D271)</f>
        <v/>
      </c>
    </row>
    <row r="272">
      <c r="A272" t="n">
        <v>261</v>
      </c>
      <c r="B272">
        <f>IF(A272&lt;=$B$4,$B$3+A272-1,"")</f>
        <v/>
      </c>
      <c r="C272">
        <f>IF(B272="","",INDEX(D_LOT,B272)&amp;"")</f>
        <v/>
      </c>
      <c r="D272">
        <f>IF(B272="","",INDEX(D_SEQ,B272))</f>
        <v/>
      </c>
      <c r="E272">
        <f>IF(B272="","",IFERROR(VALUE(INDEX(D_VAL,B272)&amp;""),""))</f>
        <v/>
      </c>
      <c r="F272">
        <f>IF(B272="","",F271+(C272&lt;&gt;C271))</f>
        <v/>
      </c>
      <c r="G272">
        <f>IF(B272="","",F272&amp;"|"&amp;D272)</f>
        <v/>
      </c>
    </row>
    <row r="273">
      <c r="A273" t="n">
        <v>262</v>
      </c>
      <c r="B273">
        <f>IF(A273&lt;=$B$4,$B$3+A273-1,"")</f>
        <v/>
      </c>
      <c r="C273">
        <f>IF(B273="","",INDEX(D_LOT,B273)&amp;"")</f>
        <v/>
      </c>
      <c r="D273">
        <f>IF(B273="","",INDEX(D_SEQ,B273))</f>
        <v/>
      </c>
      <c r="E273">
        <f>IF(B273="","",IFERROR(VALUE(INDEX(D_VAL,B273)&amp;""),""))</f>
        <v/>
      </c>
      <c r="F273">
        <f>IF(B273="","",F272+(C273&lt;&gt;C272))</f>
        <v/>
      </c>
      <c r="G273">
        <f>IF(B273="","",F273&amp;"|"&amp;D273)</f>
        <v/>
      </c>
    </row>
    <row r="274">
      <c r="A274" t="n">
        <v>263</v>
      </c>
      <c r="B274">
        <f>IF(A274&lt;=$B$4,$B$3+A274-1,"")</f>
        <v/>
      </c>
      <c r="C274">
        <f>IF(B274="","",INDEX(D_LOT,B274)&amp;"")</f>
        <v/>
      </c>
      <c r="D274">
        <f>IF(B274="","",INDEX(D_SEQ,B274))</f>
        <v/>
      </c>
      <c r="E274">
        <f>IF(B274="","",IFERROR(VALUE(INDEX(D_VAL,B274)&amp;""),""))</f>
        <v/>
      </c>
      <c r="F274">
        <f>IF(B274="","",F273+(C274&lt;&gt;C273))</f>
        <v/>
      </c>
      <c r="G274">
        <f>IF(B274="","",F274&amp;"|"&amp;D274)</f>
        <v/>
      </c>
    </row>
    <row r="275">
      <c r="A275" t="n">
        <v>264</v>
      </c>
      <c r="B275">
        <f>IF(A275&lt;=$B$4,$B$3+A275-1,"")</f>
        <v/>
      </c>
      <c r="C275">
        <f>IF(B275="","",INDEX(D_LOT,B275)&amp;"")</f>
        <v/>
      </c>
      <c r="D275">
        <f>IF(B275="","",INDEX(D_SEQ,B275))</f>
        <v/>
      </c>
      <c r="E275">
        <f>IF(B275="","",IFERROR(VALUE(INDEX(D_VAL,B275)&amp;""),""))</f>
        <v/>
      </c>
      <c r="F275">
        <f>IF(B275="","",F274+(C275&lt;&gt;C274))</f>
        <v/>
      </c>
      <c r="G275">
        <f>IF(B275="","",F275&amp;"|"&amp;D275)</f>
        <v/>
      </c>
    </row>
    <row r="276">
      <c r="A276" t="n">
        <v>265</v>
      </c>
      <c r="B276">
        <f>IF(A276&lt;=$B$4,$B$3+A276-1,"")</f>
        <v/>
      </c>
      <c r="C276">
        <f>IF(B276="","",INDEX(D_LOT,B276)&amp;"")</f>
        <v/>
      </c>
      <c r="D276">
        <f>IF(B276="","",INDEX(D_SEQ,B276))</f>
        <v/>
      </c>
      <c r="E276">
        <f>IF(B276="","",IFERROR(VALUE(INDEX(D_VAL,B276)&amp;""),""))</f>
        <v/>
      </c>
      <c r="F276">
        <f>IF(B276="","",F275+(C276&lt;&gt;C275))</f>
        <v/>
      </c>
      <c r="G276">
        <f>IF(B276="","",F276&amp;"|"&amp;D276)</f>
        <v/>
      </c>
    </row>
    <row r="277">
      <c r="A277" t="n">
        <v>266</v>
      </c>
      <c r="B277">
        <f>IF(A277&lt;=$B$4,$B$3+A277-1,"")</f>
        <v/>
      </c>
      <c r="C277">
        <f>IF(B277="","",INDEX(D_LOT,B277)&amp;"")</f>
        <v/>
      </c>
      <c r="D277">
        <f>IF(B277="","",INDEX(D_SEQ,B277))</f>
        <v/>
      </c>
      <c r="E277">
        <f>IF(B277="","",IFERROR(VALUE(INDEX(D_VAL,B277)&amp;""),""))</f>
        <v/>
      </c>
      <c r="F277">
        <f>IF(B277="","",F276+(C277&lt;&gt;C276))</f>
        <v/>
      </c>
      <c r="G277">
        <f>IF(B277="","",F277&amp;"|"&amp;D277)</f>
        <v/>
      </c>
    </row>
    <row r="278">
      <c r="A278" t="n">
        <v>267</v>
      </c>
      <c r="B278">
        <f>IF(A278&lt;=$B$4,$B$3+A278-1,"")</f>
        <v/>
      </c>
      <c r="C278">
        <f>IF(B278="","",INDEX(D_LOT,B278)&amp;"")</f>
        <v/>
      </c>
      <c r="D278">
        <f>IF(B278="","",INDEX(D_SEQ,B278))</f>
        <v/>
      </c>
      <c r="E278">
        <f>IF(B278="","",IFERROR(VALUE(INDEX(D_VAL,B278)&amp;""),""))</f>
        <v/>
      </c>
      <c r="F278">
        <f>IF(B278="","",F277+(C278&lt;&gt;C277))</f>
        <v/>
      </c>
      <c r="G278">
        <f>IF(B278="","",F278&amp;"|"&amp;D278)</f>
        <v/>
      </c>
    </row>
    <row r="279">
      <c r="A279" t="n">
        <v>268</v>
      </c>
      <c r="B279">
        <f>IF(A279&lt;=$B$4,$B$3+A279-1,"")</f>
        <v/>
      </c>
      <c r="C279">
        <f>IF(B279="","",INDEX(D_LOT,B279)&amp;"")</f>
        <v/>
      </c>
      <c r="D279">
        <f>IF(B279="","",INDEX(D_SEQ,B279))</f>
        <v/>
      </c>
      <c r="E279">
        <f>IF(B279="","",IFERROR(VALUE(INDEX(D_VAL,B279)&amp;""),""))</f>
        <v/>
      </c>
      <c r="F279">
        <f>IF(B279="","",F278+(C279&lt;&gt;C278))</f>
        <v/>
      </c>
      <c r="G279">
        <f>IF(B279="","",F279&amp;"|"&amp;D279)</f>
        <v/>
      </c>
    </row>
    <row r="280">
      <c r="A280" t="n">
        <v>269</v>
      </c>
      <c r="B280">
        <f>IF(A280&lt;=$B$4,$B$3+A280-1,"")</f>
        <v/>
      </c>
      <c r="C280">
        <f>IF(B280="","",INDEX(D_LOT,B280)&amp;"")</f>
        <v/>
      </c>
      <c r="D280">
        <f>IF(B280="","",INDEX(D_SEQ,B280))</f>
        <v/>
      </c>
      <c r="E280">
        <f>IF(B280="","",IFERROR(VALUE(INDEX(D_VAL,B280)&amp;""),""))</f>
        <v/>
      </c>
      <c r="F280">
        <f>IF(B280="","",F279+(C280&lt;&gt;C279))</f>
        <v/>
      </c>
      <c r="G280">
        <f>IF(B280="","",F280&amp;"|"&amp;D280)</f>
        <v/>
      </c>
    </row>
    <row r="281">
      <c r="A281" t="n">
        <v>270</v>
      </c>
      <c r="B281">
        <f>IF(A281&lt;=$B$4,$B$3+A281-1,"")</f>
        <v/>
      </c>
      <c r="C281">
        <f>IF(B281="","",INDEX(D_LOT,B281)&amp;"")</f>
        <v/>
      </c>
      <c r="D281">
        <f>IF(B281="","",INDEX(D_SEQ,B281))</f>
        <v/>
      </c>
      <c r="E281">
        <f>IF(B281="","",IFERROR(VALUE(INDEX(D_VAL,B281)&amp;""),""))</f>
        <v/>
      </c>
      <c r="F281">
        <f>IF(B281="","",F280+(C281&lt;&gt;C280))</f>
        <v/>
      </c>
      <c r="G281">
        <f>IF(B281="","",F281&amp;"|"&amp;D281)</f>
        <v/>
      </c>
    </row>
    <row r="282">
      <c r="A282" t="n">
        <v>271</v>
      </c>
      <c r="B282">
        <f>IF(A282&lt;=$B$4,$B$3+A282-1,"")</f>
        <v/>
      </c>
      <c r="C282">
        <f>IF(B282="","",INDEX(D_LOT,B282)&amp;"")</f>
        <v/>
      </c>
      <c r="D282">
        <f>IF(B282="","",INDEX(D_SEQ,B282))</f>
        <v/>
      </c>
      <c r="E282">
        <f>IF(B282="","",IFERROR(VALUE(INDEX(D_VAL,B282)&amp;""),""))</f>
        <v/>
      </c>
      <c r="F282">
        <f>IF(B282="","",F281+(C282&lt;&gt;C281))</f>
        <v/>
      </c>
      <c r="G282">
        <f>IF(B282="","",F282&amp;"|"&amp;D282)</f>
        <v/>
      </c>
    </row>
    <row r="283">
      <c r="A283" t="n">
        <v>272</v>
      </c>
      <c r="B283">
        <f>IF(A283&lt;=$B$4,$B$3+A283-1,"")</f>
        <v/>
      </c>
      <c r="C283">
        <f>IF(B283="","",INDEX(D_LOT,B283)&amp;"")</f>
        <v/>
      </c>
      <c r="D283">
        <f>IF(B283="","",INDEX(D_SEQ,B283))</f>
        <v/>
      </c>
      <c r="E283">
        <f>IF(B283="","",IFERROR(VALUE(INDEX(D_VAL,B283)&amp;""),""))</f>
        <v/>
      </c>
      <c r="F283">
        <f>IF(B283="","",F282+(C283&lt;&gt;C282))</f>
        <v/>
      </c>
      <c r="G283">
        <f>IF(B283="","",F283&amp;"|"&amp;D283)</f>
        <v/>
      </c>
    </row>
    <row r="284">
      <c r="A284" t="n">
        <v>273</v>
      </c>
      <c r="B284">
        <f>IF(A284&lt;=$B$4,$B$3+A284-1,"")</f>
        <v/>
      </c>
      <c r="C284">
        <f>IF(B284="","",INDEX(D_LOT,B284)&amp;"")</f>
        <v/>
      </c>
      <c r="D284">
        <f>IF(B284="","",INDEX(D_SEQ,B284))</f>
        <v/>
      </c>
      <c r="E284">
        <f>IF(B284="","",IFERROR(VALUE(INDEX(D_VAL,B284)&amp;""),""))</f>
        <v/>
      </c>
      <c r="F284">
        <f>IF(B284="","",F283+(C284&lt;&gt;C283))</f>
        <v/>
      </c>
      <c r="G284">
        <f>IF(B284="","",F284&amp;"|"&amp;D284)</f>
        <v/>
      </c>
    </row>
    <row r="285">
      <c r="A285" t="n">
        <v>274</v>
      </c>
      <c r="B285">
        <f>IF(A285&lt;=$B$4,$B$3+A285-1,"")</f>
        <v/>
      </c>
      <c r="C285">
        <f>IF(B285="","",INDEX(D_LOT,B285)&amp;"")</f>
        <v/>
      </c>
      <c r="D285">
        <f>IF(B285="","",INDEX(D_SEQ,B285))</f>
        <v/>
      </c>
      <c r="E285">
        <f>IF(B285="","",IFERROR(VALUE(INDEX(D_VAL,B285)&amp;""),""))</f>
        <v/>
      </c>
      <c r="F285">
        <f>IF(B285="","",F284+(C285&lt;&gt;C284))</f>
        <v/>
      </c>
      <c r="G285">
        <f>IF(B285="","",F285&amp;"|"&amp;D285)</f>
        <v/>
      </c>
    </row>
    <row r="286">
      <c r="A286" t="n">
        <v>275</v>
      </c>
      <c r="B286">
        <f>IF(A286&lt;=$B$4,$B$3+A286-1,"")</f>
        <v/>
      </c>
      <c r="C286">
        <f>IF(B286="","",INDEX(D_LOT,B286)&amp;"")</f>
        <v/>
      </c>
      <c r="D286">
        <f>IF(B286="","",INDEX(D_SEQ,B286))</f>
        <v/>
      </c>
      <c r="E286">
        <f>IF(B286="","",IFERROR(VALUE(INDEX(D_VAL,B286)&amp;""),""))</f>
        <v/>
      </c>
      <c r="F286">
        <f>IF(B286="","",F285+(C286&lt;&gt;C285))</f>
        <v/>
      </c>
      <c r="G286">
        <f>IF(B286="","",F286&amp;"|"&amp;D286)</f>
        <v/>
      </c>
    </row>
    <row r="287">
      <c r="A287" t="n">
        <v>276</v>
      </c>
      <c r="B287">
        <f>IF(A287&lt;=$B$4,$B$3+A287-1,"")</f>
        <v/>
      </c>
      <c r="C287">
        <f>IF(B287="","",INDEX(D_LOT,B287)&amp;"")</f>
        <v/>
      </c>
      <c r="D287">
        <f>IF(B287="","",INDEX(D_SEQ,B287))</f>
        <v/>
      </c>
      <c r="E287">
        <f>IF(B287="","",IFERROR(VALUE(INDEX(D_VAL,B287)&amp;""),""))</f>
        <v/>
      </c>
      <c r="F287">
        <f>IF(B287="","",F286+(C287&lt;&gt;C286))</f>
        <v/>
      </c>
      <c r="G287">
        <f>IF(B287="","",F287&amp;"|"&amp;D287)</f>
        <v/>
      </c>
    </row>
    <row r="288">
      <c r="A288" t="n">
        <v>277</v>
      </c>
      <c r="B288">
        <f>IF(A288&lt;=$B$4,$B$3+A288-1,"")</f>
        <v/>
      </c>
      <c r="C288">
        <f>IF(B288="","",INDEX(D_LOT,B288)&amp;"")</f>
        <v/>
      </c>
      <c r="D288">
        <f>IF(B288="","",INDEX(D_SEQ,B288))</f>
        <v/>
      </c>
      <c r="E288">
        <f>IF(B288="","",IFERROR(VALUE(INDEX(D_VAL,B288)&amp;""),""))</f>
        <v/>
      </c>
      <c r="F288">
        <f>IF(B288="","",F287+(C288&lt;&gt;C287))</f>
        <v/>
      </c>
      <c r="G288">
        <f>IF(B288="","",F288&amp;"|"&amp;D288)</f>
        <v/>
      </c>
    </row>
    <row r="289">
      <c r="A289" t="n">
        <v>278</v>
      </c>
      <c r="B289">
        <f>IF(A289&lt;=$B$4,$B$3+A289-1,"")</f>
        <v/>
      </c>
      <c r="C289">
        <f>IF(B289="","",INDEX(D_LOT,B289)&amp;"")</f>
        <v/>
      </c>
      <c r="D289">
        <f>IF(B289="","",INDEX(D_SEQ,B289))</f>
        <v/>
      </c>
      <c r="E289">
        <f>IF(B289="","",IFERROR(VALUE(INDEX(D_VAL,B289)&amp;""),""))</f>
        <v/>
      </c>
      <c r="F289">
        <f>IF(B289="","",F288+(C289&lt;&gt;C288))</f>
        <v/>
      </c>
      <c r="G289">
        <f>IF(B289="","",F289&amp;"|"&amp;D289)</f>
        <v/>
      </c>
    </row>
    <row r="290">
      <c r="A290" t="n">
        <v>279</v>
      </c>
      <c r="B290">
        <f>IF(A290&lt;=$B$4,$B$3+A290-1,"")</f>
        <v/>
      </c>
      <c r="C290">
        <f>IF(B290="","",INDEX(D_LOT,B290)&amp;"")</f>
        <v/>
      </c>
      <c r="D290">
        <f>IF(B290="","",INDEX(D_SEQ,B290))</f>
        <v/>
      </c>
      <c r="E290">
        <f>IF(B290="","",IFERROR(VALUE(INDEX(D_VAL,B290)&amp;""),""))</f>
        <v/>
      </c>
      <c r="F290">
        <f>IF(B290="","",F289+(C290&lt;&gt;C289))</f>
        <v/>
      </c>
      <c r="G290">
        <f>IF(B290="","",F290&amp;"|"&amp;D290)</f>
        <v/>
      </c>
    </row>
    <row r="291">
      <c r="A291" t="n">
        <v>280</v>
      </c>
      <c r="B291">
        <f>IF(A291&lt;=$B$4,$B$3+A291-1,"")</f>
        <v/>
      </c>
      <c r="C291">
        <f>IF(B291="","",INDEX(D_LOT,B291)&amp;"")</f>
        <v/>
      </c>
      <c r="D291">
        <f>IF(B291="","",INDEX(D_SEQ,B291))</f>
        <v/>
      </c>
      <c r="E291">
        <f>IF(B291="","",IFERROR(VALUE(INDEX(D_VAL,B291)&amp;""),""))</f>
        <v/>
      </c>
      <c r="F291">
        <f>IF(B291="","",F290+(C291&lt;&gt;C290))</f>
        <v/>
      </c>
      <c r="G291">
        <f>IF(B291="","",F291&amp;"|"&amp;D291)</f>
        <v/>
      </c>
    </row>
    <row r="292">
      <c r="A292" t="n">
        <v>281</v>
      </c>
      <c r="B292">
        <f>IF(A292&lt;=$B$4,$B$3+A292-1,"")</f>
        <v/>
      </c>
      <c r="C292">
        <f>IF(B292="","",INDEX(D_LOT,B292)&amp;"")</f>
        <v/>
      </c>
      <c r="D292">
        <f>IF(B292="","",INDEX(D_SEQ,B292))</f>
        <v/>
      </c>
      <c r="E292">
        <f>IF(B292="","",IFERROR(VALUE(INDEX(D_VAL,B292)&amp;""),""))</f>
        <v/>
      </c>
      <c r="F292">
        <f>IF(B292="","",F291+(C292&lt;&gt;C291))</f>
        <v/>
      </c>
      <c r="G292">
        <f>IF(B292="","",F292&amp;"|"&amp;D292)</f>
        <v/>
      </c>
    </row>
    <row r="293">
      <c r="A293" t="n">
        <v>282</v>
      </c>
      <c r="B293">
        <f>IF(A293&lt;=$B$4,$B$3+A293-1,"")</f>
        <v/>
      </c>
      <c r="C293">
        <f>IF(B293="","",INDEX(D_LOT,B293)&amp;"")</f>
        <v/>
      </c>
      <c r="D293">
        <f>IF(B293="","",INDEX(D_SEQ,B293))</f>
        <v/>
      </c>
      <c r="E293">
        <f>IF(B293="","",IFERROR(VALUE(INDEX(D_VAL,B293)&amp;""),""))</f>
        <v/>
      </c>
      <c r="F293">
        <f>IF(B293="","",F292+(C293&lt;&gt;C292))</f>
        <v/>
      </c>
      <c r="G293">
        <f>IF(B293="","",F293&amp;"|"&amp;D293)</f>
        <v/>
      </c>
    </row>
    <row r="294">
      <c r="A294" t="n">
        <v>283</v>
      </c>
      <c r="B294">
        <f>IF(A294&lt;=$B$4,$B$3+A294-1,"")</f>
        <v/>
      </c>
      <c r="C294">
        <f>IF(B294="","",INDEX(D_LOT,B294)&amp;"")</f>
        <v/>
      </c>
      <c r="D294">
        <f>IF(B294="","",INDEX(D_SEQ,B294))</f>
        <v/>
      </c>
      <c r="E294">
        <f>IF(B294="","",IFERROR(VALUE(INDEX(D_VAL,B294)&amp;""),""))</f>
        <v/>
      </c>
      <c r="F294">
        <f>IF(B294="","",F293+(C294&lt;&gt;C293))</f>
        <v/>
      </c>
      <c r="G294">
        <f>IF(B294="","",F294&amp;"|"&amp;D294)</f>
        <v/>
      </c>
    </row>
    <row r="295">
      <c r="A295" t="n">
        <v>284</v>
      </c>
      <c r="B295">
        <f>IF(A295&lt;=$B$4,$B$3+A295-1,"")</f>
        <v/>
      </c>
      <c r="C295">
        <f>IF(B295="","",INDEX(D_LOT,B295)&amp;"")</f>
        <v/>
      </c>
      <c r="D295">
        <f>IF(B295="","",INDEX(D_SEQ,B295))</f>
        <v/>
      </c>
      <c r="E295">
        <f>IF(B295="","",IFERROR(VALUE(INDEX(D_VAL,B295)&amp;""),""))</f>
        <v/>
      </c>
      <c r="F295">
        <f>IF(B295="","",F294+(C295&lt;&gt;C294))</f>
        <v/>
      </c>
      <c r="G295">
        <f>IF(B295="","",F295&amp;"|"&amp;D295)</f>
        <v/>
      </c>
    </row>
    <row r="296">
      <c r="A296" t="n">
        <v>285</v>
      </c>
      <c r="B296">
        <f>IF(A296&lt;=$B$4,$B$3+A296-1,"")</f>
        <v/>
      </c>
      <c r="C296">
        <f>IF(B296="","",INDEX(D_LOT,B296)&amp;"")</f>
        <v/>
      </c>
      <c r="D296">
        <f>IF(B296="","",INDEX(D_SEQ,B296))</f>
        <v/>
      </c>
      <c r="E296">
        <f>IF(B296="","",IFERROR(VALUE(INDEX(D_VAL,B296)&amp;""),""))</f>
        <v/>
      </c>
      <c r="F296">
        <f>IF(B296="","",F295+(C296&lt;&gt;C295))</f>
        <v/>
      </c>
      <c r="G296">
        <f>IF(B296="","",F296&amp;"|"&amp;D296)</f>
        <v/>
      </c>
    </row>
    <row r="297">
      <c r="A297" t="n">
        <v>286</v>
      </c>
      <c r="B297">
        <f>IF(A297&lt;=$B$4,$B$3+A297-1,"")</f>
        <v/>
      </c>
      <c r="C297">
        <f>IF(B297="","",INDEX(D_LOT,B297)&amp;"")</f>
        <v/>
      </c>
      <c r="D297">
        <f>IF(B297="","",INDEX(D_SEQ,B297))</f>
        <v/>
      </c>
      <c r="E297">
        <f>IF(B297="","",IFERROR(VALUE(INDEX(D_VAL,B297)&amp;""),""))</f>
        <v/>
      </c>
      <c r="F297">
        <f>IF(B297="","",F296+(C297&lt;&gt;C296))</f>
        <v/>
      </c>
      <c r="G297">
        <f>IF(B297="","",F297&amp;"|"&amp;D297)</f>
        <v/>
      </c>
    </row>
    <row r="298">
      <c r="A298" t="n">
        <v>287</v>
      </c>
      <c r="B298">
        <f>IF(A298&lt;=$B$4,$B$3+A298-1,"")</f>
        <v/>
      </c>
      <c r="C298">
        <f>IF(B298="","",INDEX(D_LOT,B298)&amp;"")</f>
        <v/>
      </c>
      <c r="D298">
        <f>IF(B298="","",INDEX(D_SEQ,B298))</f>
        <v/>
      </c>
      <c r="E298">
        <f>IF(B298="","",IFERROR(VALUE(INDEX(D_VAL,B298)&amp;""),""))</f>
        <v/>
      </c>
      <c r="F298">
        <f>IF(B298="","",F297+(C298&lt;&gt;C297))</f>
        <v/>
      </c>
      <c r="G298">
        <f>IF(B298="","",F298&amp;"|"&amp;D298)</f>
        <v/>
      </c>
    </row>
    <row r="299">
      <c r="A299" t="n">
        <v>288</v>
      </c>
      <c r="B299">
        <f>IF(A299&lt;=$B$4,$B$3+A299-1,"")</f>
        <v/>
      </c>
      <c r="C299">
        <f>IF(B299="","",INDEX(D_LOT,B299)&amp;"")</f>
        <v/>
      </c>
      <c r="D299">
        <f>IF(B299="","",INDEX(D_SEQ,B299))</f>
        <v/>
      </c>
      <c r="E299">
        <f>IF(B299="","",IFERROR(VALUE(INDEX(D_VAL,B299)&amp;""),""))</f>
        <v/>
      </c>
      <c r="F299">
        <f>IF(B299="","",F298+(C299&lt;&gt;C298))</f>
        <v/>
      </c>
      <c r="G299">
        <f>IF(B299="","",F299&amp;"|"&amp;D299)</f>
        <v/>
      </c>
    </row>
    <row r="300">
      <c r="A300" t="n">
        <v>289</v>
      </c>
      <c r="B300">
        <f>IF(A300&lt;=$B$4,$B$3+A300-1,"")</f>
        <v/>
      </c>
      <c r="C300">
        <f>IF(B300="","",INDEX(D_LOT,B300)&amp;"")</f>
        <v/>
      </c>
      <c r="D300">
        <f>IF(B300="","",INDEX(D_SEQ,B300))</f>
        <v/>
      </c>
      <c r="E300">
        <f>IF(B300="","",IFERROR(VALUE(INDEX(D_VAL,B300)&amp;""),""))</f>
        <v/>
      </c>
      <c r="F300">
        <f>IF(B300="","",F299+(C300&lt;&gt;C299))</f>
        <v/>
      </c>
      <c r="G300">
        <f>IF(B300="","",F300&amp;"|"&amp;D300)</f>
        <v/>
      </c>
    </row>
    <row r="301">
      <c r="A301" t="n">
        <v>290</v>
      </c>
      <c r="B301">
        <f>IF(A301&lt;=$B$4,$B$3+A301-1,"")</f>
        <v/>
      </c>
      <c r="C301">
        <f>IF(B301="","",INDEX(D_LOT,B301)&amp;"")</f>
        <v/>
      </c>
      <c r="D301">
        <f>IF(B301="","",INDEX(D_SEQ,B301))</f>
        <v/>
      </c>
      <c r="E301">
        <f>IF(B301="","",IFERROR(VALUE(INDEX(D_VAL,B301)&amp;""),""))</f>
        <v/>
      </c>
      <c r="F301">
        <f>IF(B301="","",F300+(C301&lt;&gt;C300))</f>
        <v/>
      </c>
      <c r="G301">
        <f>IF(B301="","",F301&amp;"|"&amp;D301)</f>
        <v/>
      </c>
    </row>
    <row r="302">
      <c r="A302" t="n">
        <v>291</v>
      </c>
      <c r="B302">
        <f>IF(A302&lt;=$B$4,$B$3+A302-1,"")</f>
        <v/>
      </c>
      <c r="C302">
        <f>IF(B302="","",INDEX(D_LOT,B302)&amp;"")</f>
        <v/>
      </c>
      <c r="D302">
        <f>IF(B302="","",INDEX(D_SEQ,B302))</f>
        <v/>
      </c>
      <c r="E302">
        <f>IF(B302="","",IFERROR(VALUE(INDEX(D_VAL,B302)&amp;""),""))</f>
        <v/>
      </c>
      <c r="F302">
        <f>IF(B302="","",F301+(C302&lt;&gt;C301))</f>
        <v/>
      </c>
      <c r="G302">
        <f>IF(B302="","",F302&amp;"|"&amp;D302)</f>
        <v/>
      </c>
    </row>
    <row r="303">
      <c r="A303" t="n">
        <v>292</v>
      </c>
      <c r="B303">
        <f>IF(A303&lt;=$B$4,$B$3+A303-1,"")</f>
        <v/>
      </c>
      <c r="C303">
        <f>IF(B303="","",INDEX(D_LOT,B303)&amp;"")</f>
        <v/>
      </c>
      <c r="D303">
        <f>IF(B303="","",INDEX(D_SEQ,B303))</f>
        <v/>
      </c>
      <c r="E303">
        <f>IF(B303="","",IFERROR(VALUE(INDEX(D_VAL,B303)&amp;""),""))</f>
        <v/>
      </c>
      <c r="F303">
        <f>IF(B303="","",F302+(C303&lt;&gt;C302))</f>
        <v/>
      </c>
      <c r="G303">
        <f>IF(B303="","",F303&amp;"|"&amp;D303)</f>
        <v/>
      </c>
    </row>
    <row r="304">
      <c r="A304" t="n">
        <v>293</v>
      </c>
      <c r="B304">
        <f>IF(A304&lt;=$B$4,$B$3+A304-1,"")</f>
        <v/>
      </c>
      <c r="C304">
        <f>IF(B304="","",INDEX(D_LOT,B304)&amp;"")</f>
        <v/>
      </c>
      <c r="D304">
        <f>IF(B304="","",INDEX(D_SEQ,B304))</f>
        <v/>
      </c>
      <c r="E304">
        <f>IF(B304="","",IFERROR(VALUE(INDEX(D_VAL,B304)&amp;""),""))</f>
        <v/>
      </c>
      <c r="F304">
        <f>IF(B304="","",F303+(C304&lt;&gt;C303))</f>
        <v/>
      </c>
      <c r="G304">
        <f>IF(B304="","",F304&amp;"|"&amp;D304)</f>
        <v/>
      </c>
    </row>
    <row r="305">
      <c r="A305" t="n">
        <v>294</v>
      </c>
      <c r="B305">
        <f>IF(A305&lt;=$B$4,$B$3+A305-1,"")</f>
        <v/>
      </c>
      <c r="C305">
        <f>IF(B305="","",INDEX(D_LOT,B305)&amp;"")</f>
        <v/>
      </c>
      <c r="D305">
        <f>IF(B305="","",INDEX(D_SEQ,B305))</f>
        <v/>
      </c>
      <c r="E305">
        <f>IF(B305="","",IFERROR(VALUE(INDEX(D_VAL,B305)&amp;""),""))</f>
        <v/>
      </c>
      <c r="F305">
        <f>IF(B305="","",F304+(C305&lt;&gt;C304))</f>
        <v/>
      </c>
      <c r="G305">
        <f>IF(B305="","",F305&amp;"|"&amp;D305)</f>
        <v/>
      </c>
    </row>
    <row r="306">
      <c r="A306" t="n">
        <v>295</v>
      </c>
      <c r="B306">
        <f>IF(A306&lt;=$B$4,$B$3+A306-1,"")</f>
        <v/>
      </c>
      <c r="C306">
        <f>IF(B306="","",INDEX(D_LOT,B306)&amp;"")</f>
        <v/>
      </c>
      <c r="D306">
        <f>IF(B306="","",INDEX(D_SEQ,B306))</f>
        <v/>
      </c>
      <c r="E306">
        <f>IF(B306="","",IFERROR(VALUE(INDEX(D_VAL,B306)&amp;""),""))</f>
        <v/>
      </c>
      <c r="F306">
        <f>IF(B306="","",F305+(C306&lt;&gt;C305))</f>
        <v/>
      </c>
      <c r="G306">
        <f>IF(B306="","",F306&amp;"|"&amp;D306)</f>
        <v/>
      </c>
    </row>
    <row r="307">
      <c r="A307" t="n">
        <v>296</v>
      </c>
      <c r="B307">
        <f>IF(A307&lt;=$B$4,$B$3+A307-1,"")</f>
        <v/>
      </c>
      <c r="C307">
        <f>IF(B307="","",INDEX(D_LOT,B307)&amp;"")</f>
        <v/>
      </c>
      <c r="D307">
        <f>IF(B307="","",INDEX(D_SEQ,B307))</f>
        <v/>
      </c>
      <c r="E307">
        <f>IF(B307="","",IFERROR(VALUE(INDEX(D_VAL,B307)&amp;""),""))</f>
        <v/>
      </c>
      <c r="F307">
        <f>IF(B307="","",F306+(C307&lt;&gt;C306))</f>
        <v/>
      </c>
      <c r="G307">
        <f>IF(B307="","",F307&amp;"|"&amp;D307)</f>
        <v/>
      </c>
    </row>
    <row r="308">
      <c r="A308" t="n">
        <v>297</v>
      </c>
      <c r="B308">
        <f>IF(A308&lt;=$B$4,$B$3+A308-1,"")</f>
        <v/>
      </c>
      <c r="C308">
        <f>IF(B308="","",INDEX(D_LOT,B308)&amp;"")</f>
        <v/>
      </c>
      <c r="D308">
        <f>IF(B308="","",INDEX(D_SEQ,B308))</f>
        <v/>
      </c>
      <c r="E308">
        <f>IF(B308="","",IFERROR(VALUE(INDEX(D_VAL,B308)&amp;""),""))</f>
        <v/>
      </c>
      <c r="F308">
        <f>IF(B308="","",F307+(C308&lt;&gt;C307))</f>
        <v/>
      </c>
      <c r="G308">
        <f>IF(B308="","",F308&amp;"|"&amp;D308)</f>
        <v/>
      </c>
    </row>
    <row r="309">
      <c r="A309" t="n">
        <v>298</v>
      </c>
      <c r="B309">
        <f>IF(A309&lt;=$B$4,$B$3+A309-1,"")</f>
        <v/>
      </c>
      <c r="C309">
        <f>IF(B309="","",INDEX(D_LOT,B309)&amp;"")</f>
        <v/>
      </c>
      <c r="D309">
        <f>IF(B309="","",INDEX(D_SEQ,B309))</f>
        <v/>
      </c>
      <c r="E309">
        <f>IF(B309="","",IFERROR(VALUE(INDEX(D_VAL,B309)&amp;""),""))</f>
        <v/>
      </c>
      <c r="F309">
        <f>IF(B309="","",F308+(C309&lt;&gt;C308))</f>
        <v/>
      </c>
      <c r="G309">
        <f>IF(B309="","",F309&amp;"|"&amp;D309)</f>
        <v/>
      </c>
    </row>
    <row r="310">
      <c r="A310" t="n">
        <v>299</v>
      </c>
      <c r="B310">
        <f>IF(A310&lt;=$B$4,$B$3+A310-1,"")</f>
        <v/>
      </c>
      <c r="C310">
        <f>IF(B310="","",INDEX(D_LOT,B310)&amp;"")</f>
        <v/>
      </c>
      <c r="D310">
        <f>IF(B310="","",INDEX(D_SEQ,B310))</f>
        <v/>
      </c>
      <c r="E310">
        <f>IF(B310="","",IFERROR(VALUE(INDEX(D_VAL,B310)&amp;""),""))</f>
        <v/>
      </c>
      <c r="F310">
        <f>IF(B310="","",F309+(C310&lt;&gt;C309))</f>
        <v/>
      </c>
      <c r="G310">
        <f>IF(B310="","",F310&amp;"|"&amp;D310)</f>
        <v/>
      </c>
    </row>
    <row r="311">
      <c r="A311" t="n">
        <v>300</v>
      </c>
      <c r="B311">
        <f>IF(A311&lt;=$B$4,$B$3+A311-1,"")</f>
        <v/>
      </c>
      <c r="C311">
        <f>IF(B311="","",INDEX(D_LOT,B311)&amp;"")</f>
        <v/>
      </c>
      <c r="D311">
        <f>IF(B311="","",INDEX(D_SEQ,B311))</f>
        <v/>
      </c>
      <c r="E311">
        <f>IF(B311="","",IFERROR(VALUE(INDEX(D_VAL,B311)&amp;""),""))</f>
        <v/>
      </c>
      <c r="F311">
        <f>IF(B311="","",F310+(C311&lt;&gt;C310))</f>
        <v/>
      </c>
      <c r="G311">
        <f>IF(B311="","",F311&amp;"|"&amp;D311)</f>
        <v/>
      </c>
    </row>
    <row r="312">
      <c r="A312" t="n">
        <v>301</v>
      </c>
      <c r="B312">
        <f>IF(A312&lt;=$B$4,$B$3+A312-1,"")</f>
        <v/>
      </c>
      <c r="C312">
        <f>IF(B312="","",INDEX(D_LOT,B312)&amp;"")</f>
        <v/>
      </c>
      <c r="D312">
        <f>IF(B312="","",INDEX(D_SEQ,B312))</f>
        <v/>
      </c>
      <c r="E312">
        <f>IF(B312="","",IFERROR(VALUE(INDEX(D_VAL,B312)&amp;""),""))</f>
        <v/>
      </c>
      <c r="F312">
        <f>IF(B312="","",F311+(C312&lt;&gt;C311))</f>
        <v/>
      </c>
      <c r="G312">
        <f>IF(B312="","",F312&amp;"|"&amp;D312)</f>
        <v/>
      </c>
    </row>
    <row r="313">
      <c r="A313" t="n">
        <v>302</v>
      </c>
      <c r="B313">
        <f>IF(A313&lt;=$B$4,$B$3+A313-1,"")</f>
        <v/>
      </c>
      <c r="C313">
        <f>IF(B313="","",INDEX(D_LOT,B313)&amp;"")</f>
        <v/>
      </c>
      <c r="D313">
        <f>IF(B313="","",INDEX(D_SEQ,B313))</f>
        <v/>
      </c>
      <c r="E313">
        <f>IF(B313="","",IFERROR(VALUE(INDEX(D_VAL,B313)&amp;""),""))</f>
        <v/>
      </c>
      <c r="F313">
        <f>IF(B313="","",F312+(C313&lt;&gt;C312))</f>
        <v/>
      </c>
      <c r="G313">
        <f>IF(B313="","",F313&amp;"|"&amp;D313)</f>
        <v/>
      </c>
    </row>
    <row r="314">
      <c r="A314" t="n">
        <v>303</v>
      </c>
      <c r="B314">
        <f>IF(A314&lt;=$B$4,$B$3+A314-1,"")</f>
        <v/>
      </c>
      <c r="C314">
        <f>IF(B314="","",INDEX(D_LOT,B314)&amp;"")</f>
        <v/>
      </c>
      <c r="D314">
        <f>IF(B314="","",INDEX(D_SEQ,B314))</f>
        <v/>
      </c>
      <c r="E314">
        <f>IF(B314="","",IFERROR(VALUE(INDEX(D_VAL,B314)&amp;""),""))</f>
        <v/>
      </c>
      <c r="F314">
        <f>IF(B314="","",F313+(C314&lt;&gt;C313))</f>
        <v/>
      </c>
      <c r="G314">
        <f>IF(B314="","",F314&amp;"|"&amp;D314)</f>
        <v/>
      </c>
    </row>
    <row r="315">
      <c r="A315" t="n">
        <v>304</v>
      </c>
      <c r="B315">
        <f>IF(A315&lt;=$B$4,$B$3+A315-1,"")</f>
        <v/>
      </c>
      <c r="C315">
        <f>IF(B315="","",INDEX(D_LOT,B315)&amp;"")</f>
        <v/>
      </c>
      <c r="D315">
        <f>IF(B315="","",INDEX(D_SEQ,B315))</f>
        <v/>
      </c>
      <c r="E315">
        <f>IF(B315="","",IFERROR(VALUE(INDEX(D_VAL,B315)&amp;""),""))</f>
        <v/>
      </c>
      <c r="F315">
        <f>IF(B315="","",F314+(C315&lt;&gt;C314))</f>
        <v/>
      </c>
      <c r="G315">
        <f>IF(B315="","",F315&amp;"|"&amp;D315)</f>
        <v/>
      </c>
    </row>
    <row r="316">
      <c r="A316" t="n">
        <v>305</v>
      </c>
      <c r="B316">
        <f>IF(A316&lt;=$B$4,$B$3+A316-1,"")</f>
        <v/>
      </c>
      <c r="C316">
        <f>IF(B316="","",INDEX(D_LOT,B316)&amp;"")</f>
        <v/>
      </c>
      <c r="D316">
        <f>IF(B316="","",INDEX(D_SEQ,B316))</f>
        <v/>
      </c>
      <c r="E316">
        <f>IF(B316="","",IFERROR(VALUE(INDEX(D_VAL,B316)&amp;""),""))</f>
        <v/>
      </c>
      <c r="F316">
        <f>IF(B316="","",F315+(C316&lt;&gt;C315))</f>
        <v/>
      </c>
      <c r="G316">
        <f>IF(B316="","",F316&amp;"|"&amp;D316)</f>
        <v/>
      </c>
    </row>
    <row r="317">
      <c r="A317" t="n">
        <v>306</v>
      </c>
      <c r="B317">
        <f>IF(A317&lt;=$B$4,$B$3+A317-1,"")</f>
        <v/>
      </c>
      <c r="C317">
        <f>IF(B317="","",INDEX(D_LOT,B317)&amp;"")</f>
        <v/>
      </c>
      <c r="D317">
        <f>IF(B317="","",INDEX(D_SEQ,B317))</f>
        <v/>
      </c>
      <c r="E317">
        <f>IF(B317="","",IFERROR(VALUE(INDEX(D_VAL,B317)&amp;""),""))</f>
        <v/>
      </c>
      <c r="F317">
        <f>IF(B317="","",F316+(C317&lt;&gt;C316))</f>
        <v/>
      </c>
      <c r="G317">
        <f>IF(B317="","",F317&amp;"|"&amp;D317)</f>
        <v/>
      </c>
    </row>
    <row r="318">
      <c r="A318" t="n">
        <v>307</v>
      </c>
      <c r="B318">
        <f>IF(A318&lt;=$B$4,$B$3+A318-1,"")</f>
        <v/>
      </c>
      <c r="C318">
        <f>IF(B318="","",INDEX(D_LOT,B318)&amp;"")</f>
        <v/>
      </c>
      <c r="D318">
        <f>IF(B318="","",INDEX(D_SEQ,B318))</f>
        <v/>
      </c>
      <c r="E318">
        <f>IF(B318="","",IFERROR(VALUE(INDEX(D_VAL,B318)&amp;""),""))</f>
        <v/>
      </c>
      <c r="F318">
        <f>IF(B318="","",F317+(C318&lt;&gt;C317))</f>
        <v/>
      </c>
      <c r="G318">
        <f>IF(B318="","",F318&amp;"|"&amp;D318)</f>
        <v/>
      </c>
    </row>
    <row r="319">
      <c r="A319" t="n">
        <v>308</v>
      </c>
      <c r="B319">
        <f>IF(A319&lt;=$B$4,$B$3+A319-1,"")</f>
        <v/>
      </c>
      <c r="C319">
        <f>IF(B319="","",INDEX(D_LOT,B319)&amp;"")</f>
        <v/>
      </c>
      <c r="D319">
        <f>IF(B319="","",INDEX(D_SEQ,B319))</f>
        <v/>
      </c>
      <c r="E319">
        <f>IF(B319="","",IFERROR(VALUE(INDEX(D_VAL,B319)&amp;""),""))</f>
        <v/>
      </c>
      <c r="F319">
        <f>IF(B319="","",F318+(C319&lt;&gt;C318))</f>
        <v/>
      </c>
      <c r="G319">
        <f>IF(B319="","",F319&amp;"|"&amp;D319)</f>
        <v/>
      </c>
    </row>
    <row r="320">
      <c r="A320" t="n">
        <v>309</v>
      </c>
      <c r="B320">
        <f>IF(A320&lt;=$B$4,$B$3+A320-1,"")</f>
        <v/>
      </c>
      <c r="C320">
        <f>IF(B320="","",INDEX(D_LOT,B320)&amp;"")</f>
        <v/>
      </c>
      <c r="D320">
        <f>IF(B320="","",INDEX(D_SEQ,B320))</f>
        <v/>
      </c>
      <c r="E320">
        <f>IF(B320="","",IFERROR(VALUE(INDEX(D_VAL,B320)&amp;""),""))</f>
        <v/>
      </c>
      <c r="F320">
        <f>IF(B320="","",F319+(C320&lt;&gt;C319))</f>
        <v/>
      </c>
      <c r="G320">
        <f>IF(B320="","",F320&amp;"|"&amp;D320)</f>
        <v/>
      </c>
    </row>
    <row r="321">
      <c r="A321" t="n">
        <v>310</v>
      </c>
      <c r="B321">
        <f>IF(A321&lt;=$B$4,$B$3+A321-1,"")</f>
        <v/>
      </c>
      <c r="C321">
        <f>IF(B321="","",INDEX(D_LOT,B321)&amp;"")</f>
        <v/>
      </c>
      <c r="D321">
        <f>IF(B321="","",INDEX(D_SEQ,B321))</f>
        <v/>
      </c>
      <c r="E321">
        <f>IF(B321="","",IFERROR(VALUE(INDEX(D_VAL,B321)&amp;""),""))</f>
        <v/>
      </c>
      <c r="F321">
        <f>IF(B321="","",F320+(C321&lt;&gt;C320))</f>
        <v/>
      </c>
      <c r="G321">
        <f>IF(B321="","",F321&amp;"|"&amp;D321)</f>
        <v/>
      </c>
    </row>
    <row r="322">
      <c r="A322" t="n">
        <v>311</v>
      </c>
      <c r="B322">
        <f>IF(A322&lt;=$B$4,$B$3+A322-1,"")</f>
        <v/>
      </c>
      <c r="C322">
        <f>IF(B322="","",INDEX(D_LOT,B322)&amp;"")</f>
        <v/>
      </c>
      <c r="D322">
        <f>IF(B322="","",INDEX(D_SEQ,B322))</f>
        <v/>
      </c>
      <c r="E322">
        <f>IF(B322="","",IFERROR(VALUE(INDEX(D_VAL,B322)&amp;""),""))</f>
        <v/>
      </c>
      <c r="F322">
        <f>IF(B322="","",F321+(C322&lt;&gt;C321))</f>
        <v/>
      </c>
      <c r="G322">
        <f>IF(B322="","",F322&amp;"|"&amp;D322)</f>
        <v/>
      </c>
    </row>
    <row r="323">
      <c r="A323" t="n">
        <v>312</v>
      </c>
      <c r="B323">
        <f>IF(A323&lt;=$B$4,$B$3+A323-1,"")</f>
        <v/>
      </c>
      <c r="C323">
        <f>IF(B323="","",INDEX(D_LOT,B323)&amp;"")</f>
        <v/>
      </c>
      <c r="D323">
        <f>IF(B323="","",INDEX(D_SEQ,B323))</f>
        <v/>
      </c>
      <c r="E323">
        <f>IF(B323="","",IFERROR(VALUE(INDEX(D_VAL,B323)&amp;""),""))</f>
        <v/>
      </c>
      <c r="F323">
        <f>IF(B323="","",F322+(C323&lt;&gt;C322))</f>
        <v/>
      </c>
      <c r="G323">
        <f>IF(B323="","",F323&amp;"|"&amp;D323)</f>
        <v/>
      </c>
    </row>
    <row r="324">
      <c r="A324" t="n">
        <v>313</v>
      </c>
      <c r="B324">
        <f>IF(A324&lt;=$B$4,$B$3+A324-1,"")</f>
        <v/>
      </c>
      <c r="C324">
        <f>IF(B324="","",INDEX(D_LOT,B324)&amp;"")</f>
        <v/>
      </c>
      <c r="D324">
        <f>IF(B324="","",INDEX(D_SEQ,B324))</f>
        <v/>
      </c>
      <c r="E324">
        <f>IF(B324="","",IFERROR(VALUE(INDEX(D_VAL,B324)&amp;""),""))</f>
        <v/>
      </c>
      <c r="F324">
        <f>IF(B324="","",F323+(C324&lt;&gt;C323))</f>
        <v/>
      </c>
      <c r="G324">
        <f>IF(B324="","",F324&amp;"|"&amp;D324)</f>
        <v/>
      </c>
    </row>
    <row r="325">
      <c r="A325" t="n">
        <v>314</v>
      </c>
      <c r="B325">
        <f>IF(A325&lt;=$B$4,$B$3+A325-1,"")</f>
        <v/>
      </c>
      <c r="C325">
        <f>IF(B325="","",INDEX(D_LOT,B325)&amp;"")</f>
        <v/>
      </c>
      <c r="D325">
        <f>IF(B325="","",INDEX(D_SEQ,B325))</f>
        <v/>
      </c>
      <c r="E325">
        <f>IF(B325="","",IFERROR(VALUE(INDEX(D_VAL,B325)&amp;""),""))</f>
        <v/>
      </c>
      <c r="F325">
        <f>IF(B325="","",F324+(C325&lt;&gt;C324))</f>
        <v/>
      </c>
      <c r="G325">
        <f>IF(B325="","",F325&amp;"|"&amp;D325)</f>
        <v/>
      </c>
    </row>
    <row r="326">
      <c r="A326" t="n">
        <v>315</v>
      </c>
      <c r="B326">
        <f>IF(A326&lt;=$B$4,$B$3+A326-1,"")</f>
        <v/>
      </c>
      <c r="C326">
        <f>IF(B326="","",INDEX(D_LOT,B326)&amp;"")</f>
        <v/>
      </c>
      <c r="D326">
        <f>IF(B326="","",INDEX(D_SEQ,B326))</f>
        <v/>
      </c>
      <c r="E326">
        <f>IF(B326="","",IFERROR(VALUE(INDEX(D_VAL,B326)&amp;""),""))</f>
        <v/>
      </c>
      <c r="F326">
        <f>IF(B326="","",F325+(C326&lt;&gt;C325))</f>
        <v/>
      </c>
      <c r="G326">
        <f>IF(B326="","",F326&amp;"|"&amp;D326)</f>
        <v/>
      </c>
    </row>
    <row r="327">
      <c r="A327" t="n">
        <v>316</v>
      </c>
      <c r="B327">
        <f>IF(A327&lt;=$B$4,$B$3+A327-1,"")</f>
        <v/>
      </c>
      <c r="C327">
        <f>IF(B327="","",INDEX(D_LOT,B327)&amp;"")</f>
        <v/>
      </c>
      <c r="D327">
        <f>IF(B327="","",INDEX(D_SEQ,B327))</f>
        <v/>
      </c>
      <c r="E327">
        <f>IF(B327="","",IFERROR(VALUE(INDEX(D_VAL,B327)&amp;""),""))</f>
        <v/>
      </c>
      <c r="F327">
        <f>IF(B327="","",F326+(C327&lt;&gt;C326))</f>
        <v/>
      </c>
      <c r="G327">
        <f>IF(B327="","",F327&amp;"|"&amp;D327)</f>
        <v/>
      </c>
    </row>
    <row r="328">
      <c r="A328" t="n">
        <v>317</v>
      </c>
      <c r="B328">
        <f>IF(A328&lt;=$B$4,$B$3+A328-1,"")</f>
        <v/>
      </c>
      <c r="C328">
        <f>IF(B328="","",INDEX(D_LOT,B328)&amp;"")</f>
        <v/>
      </c>
      <c r="D328">
        <f>IF(B328="","",INDEX(D_SEQ,B328))</f>
        <v/>
      </c>
      <c r="E328">
        <f>IF(B328="","",IFERROR(VALUE(INDEX(D_VAL,B328)&amp;""),""))</f>
        <v/>
      </c>
      <c r="F328">
        <f>IF(B328="","",F327+(C328&lt;&gt;C327))</f>
        <v/>
      </c>
      <c r="G328">
        <f>IF(B328="","",F328&amp;"|"&amp;D328)</f>
        <v/>
      </c>
    </row>
    <row r="329">
      <c r="A329" t="n">
        <v>318</v>
      </c>
      <c r="B329">
        <f>IF(A329&lt;=$B$4,$B$3+A329-1,"")</f>
        <v/>
      </c>
      <c r="C329">
        <f>IF(B329="","",INDEX(D_LOT,B329)&amp;"")</f>
        <v/>
      </c>
      <c r="D329">
        <f>IF(B329="","",INDEX(D_SEQ,B329))</f>
        <v/>
      </c>
      <c r="E329">
        <f>IF(B329="","",IFERROR(VALUE(INDEX(D_VAL,B329)&amp;""),""))</f>
        <v/>
      </c>
      <c r="F329">
        <f>IF(B329="","",F328+(C329&lt;&gt;C328))</f>
        <v/>
      </c>
      <c r="G329">
        <f>IF(B329="","",F329&amp;"|"&amp;D329)</f>
        <v/>
      </c>
    </row>
    <row r="330">
      <c r="A330" t="n">
        <v>319</v>
      </c>
      <c r="B330">
        <f>IF(A330&lt;=$B$4,$B$3+A330-1,"")</f>
        <v/>
      </c>
      <c r="C330">
        <f>IF(B330="","",INDEX(D_LOT,B330)&amp;"")</f>
        <v/>
      </c>
      <c r="D330">
        <f>IF(B330="","",INDEX(D_SEQ,B330))</f>
        <v/>
      </c>
      <c r="E330">
        <f>IF(B330="","",IFERROR(VALUE(INDEX(D_VAL,B330)&amp;""),""))</f>
        <v/>
      </c>
      <c r="F330">
        <f>IF(B330="","",F329+(C330&lt;&gt;C329))</f>
        <v/>
      </c>
      <c r="G330">
        <f>IF(B330="","",F330&amp;"|"&amp;D330)</f>
        <v/>
      </c>
    </row>
    <row r="331">
      <c r="A331" t="n">
        <v>320</v>
      </c>
      <c r="B331">
        <f>IF(A331&lt;=$B$4,$B$3+A331-1,"")</f>
        <v/>
      </c>
      <c r="C331">
        <f>IF(B331="","",INDEX(D_LOT,B331)&amp;"")</f>
        <v/>
      </c>
      <c r="D331">
        <f>IF(B331="","",INDEX(D_SEQ,B331))</f>
        <v/>
      </c>
      <c r="E331">
        <f>IF(B331="","",IFERROR(VALUE(INDEX(D_VAL,B331)&amp;""),""))</f>
        <v/>
      </c>
      <c r="F331">
        <f>IF(B331="","",F330+(C331&lt;&gt;C330))</f>
        <v/>
      </c>
      <c r="G331">
        <f>IF(B331="","",F331&amp;"|"&amp;D331)</f>
        <v/>
      </c>
    </row>
    <row r="332">
      <c r="A332" t="n">
        <v>321</v>
      </c>
      <c r="B332">
        <f>IF(A332&lt;=$B$4,$B$3+A332-1,"")</f>
        <v/>
      </c>
      <c r="C332">
        <f>IF(B332="","",INDEX(D_LOT,B332)&amp;"")</f>
        <v/>
      </c>
      <c r="D332">
        <f>IF(B332="","",INDEX(D_SEQ,B332))</f>
        <v/>
      </c>
      <c r="E332">
        <f>IF(B332="","",IFERROR(VALUE(INDEX(D_VAL,B332)&amp;""),""))</f>
        <v/>
      </c>
      <c r="F332">
        <f>IF(B332="","",F331+(C332&lt;&gt;C331))</f>
        <v/>
      </c>
      <c r="G332">
        <f>IF(B332="","",F332&amp;"|"&amp;D332)</f>
        <v/>
      </c>
    </row>
    <row r="333">
      <c r="A333" t="n">
        <v>322</v>
      </c>
      <c r="B333">
        <f>IF(A333&lt;=$B$4,$B$3+A333-1,"")</f>
        <v/>
      </c>
      <c r="C333">
        <f>IF(B333="","",INDEX(D_LOT,B333)&amp;"")</f>
        <v/>
      </c>
      <c r="D333">
        <f>IF(B333="","",INDEX(D_SEQ,B333))</f>
        <v/>
      </c>
      <c r="E333">
        <f>IF(B333="","",IFERROR(VALUE(INDEX(D_VAL,B333)&amp;""),""))</f>
        <v/>
      </c>
      <c r="F333">
        <f>IF(B333="","",F332+(C333&lt;&gt;C332))</f>
        <v/>
      </c>
      <c r="G333">
        <f>IF(B333="","",F333&amp;"|"&amp;D333)</f>
        <v/>
      </c>
    </row>
    <row r="334">
      <c r="A334" t="n">
        <v>323</v>
      </c>
      <c r="B334">
        <f>IF(A334&lt;=$B$4,$B$3+A334-1,"")</f>
        <v/>
      </c>
      <c r="C334">
        <f>IF(B334="","",INDEX(D_LOT,B334)&amp;"")</f>
        <v/>
      </c>
      <c r="D334">
        <f>IF(B334="","",INDEX(D_SEQ,B334))</f>
        <v/>
      </c>
      <c r="E334">
        <f>IF(B334="","",IFERROR(VALUE(INDEX(D_VAL,B334)&amp;""),""))</f>
        <v/>
      </c>
      <c r="F334">
        <f>IF(B334="","",F333+(C334&lt;&gt;C333))</f>
        <v/>
      </c>
      <c r="G334">
        <f>IF(B334="","",F334&amp;"|"&amp;D334)</f>
        <v/>
      </c>
    </row>
    <row r="335">
      <c r="A335" t="n">
        <v>324</v>
      </c>
      <c r="B335">
        <f>IF(A335&lt;=$B$4,$B$3+A335-1,"")</f>
        <v/>
      </c>
      <c r="C335">
        <f>IF(B335="","",INDEX(D_LOT,B335)&amp;"")</f>
        <v/>
      </c>
      <c r="D335">
        <f>IF(B335="","",INDEX(D_SEQ,B335))</f>
        <v/>
      </c>
      <c r="E335">
        <f>IF(B335="","",IFERROR(VALUE(INDEX(D_VAL,B335)&amp;""),""))</f>
        <v/>
      </c>
      <c r="F335">
        <f>IF(B335="","",F334+(C335&lt;&gt;C334))</f>
        <v/>
      </c>
      <c r="G335">
        <f>IF(B335="","",F335&amp;"|"&amp;D335)</f>
        <v/>
      </c>
    </row>
    <row r="336">
      <c r="A336" t="n">
        <v>325</v>
      </c>
      <c r="B336">
        <f>IF(A336&lt;=$B$4,$B$3+A336-1,"")</f>
        <v/>
      </c>
      <c r="C336">
        <f>IF(B336="","",INDEX(D_LOT,B336)&amp;"")</f>
        <v/>
      </c>
      <c r="D336">
        <f>IF(B336="","",INDEX(D_SEQ,B336))</f>
        <v/>
      </c>
      <c r="E336">
        <f>IF(B336="","",IFERROR(VALUE(INDEX(D_VAL,B336)&amp;""),""))</f>
        <v/>
      </c>
      <c r="F336">
        <f>IF(B336="","",F335+(C336&lt;&gt;C335))</f>
        <v/>
      </c>
      <c r="G336">
        <f>IF(B336="","",F336&amp;"|"&amp;D336)</f>
        <v/>
      </c>
    </row>
    <row r="337">
      <c r="A337" t="n">
        <v>326</v>
      </c>
      <c r="B337">
        <f>IF(A337&lt;=$B$4,$B$3+A337-1,"")</f>
        <v/>
      </c>
      <c r="C337">
        <f>IF(B337="","",INDEX(D_LOT,B337)&amp;"")</f>
        <v/>
      </c>
      <c r="D337">
        <f>IF(B337="","",INDEX(D_SEQ,B337))</f>
        <v/>
      </c>
      <c r="E337">
        <f>IF(B337="","",IFERROR(VALUE(INDEX(D_VAL,B337)&amp;""),""))</f>
        <v/>
      </c>
      <c r="F337">
        <f>IF(B337="","",F336+(C337&lt;&gt;C336))</f>
        <v/>
      </c>
      <c r="G337">
        <f>IF(B337="","",F337&amp;"|"&amp;D337)</f>
        <v/>
      </c>
    </row>
    <row r="338">
      <c r="A338" t="n">
        <v>327</v>
      </c>
      <c r="B338">
        <f>IF(A338&lt;=$B$4,$B$3+A338-1,"")</f>
        <v/>
      </c>
      <c r="C338">
        <f>IF(B338="","",INDEX(D_LOT,B338)&amp;"")</f>
        <v/>
      </c>
      <c r="D338">
        <f>IF(B338="","",INDEX(D_SEQ,B338))</f>
        <v/>
      </c>
      <c r="E338">
        <f>IF(B338="","",IFERROR(VALUE(INDEX(D_VAL,B338)&amp;""),""))</f>
        <v/>
      </c>
      <c r="F338">
        <f>IF(B338="","",F337+(C338&lt;&gt;C337))</f>
        <v/>
      </c>
      <c r="G338">
        <f>IF(B338="","",F338&amp;"|"&amp;D338)</f>
        <v/>
      </c>
    </row>
    <row r="339">
      <c r="A339" t="n">
        <v>328</v>
      </c>
      <c r="B339">
        <f>IF(A339&lt;=$B$4,$B$3+A339-1,"")</f>
        <v/>
      </c>
      <c r="C339">
        <f>IF(B339="","",INDEX(D_LOT,B339)&amp;"")</f>
        <v/>
      </c>
      <c r="D339">
        <f>IF(B339="","",INDEX(D_SEQ,B339))</f>
        <v/>
      </c>
      <c r="E339">
        <f>IF(B339="","",IFERROR(VALUE(INDEX(D_VAL,B339)&amp;""),""))</f>
        <v/>
      </c>
      <c r="F339">
        <f>IF(B339="","",F338+(C339&lt;&gt;C338))</f>
        <v/>
      </c>
      <c r="G339">
        <f>IF(B339="","",F339&amp;"|"&amp;D339)</f>
        <v/>
      </c>
    </row>
    <row r="340">
      <c r="A340" t="n">
        <v>329</v>
      </c>
      <c r="B340">
        <f>IF(A340&lt;=$B$4,$B$3+A340-1,"")</f>
        <v/>
      </c>
      <c r="C340">
        <f>IF(B340="","",INDEX(D_LOT,B340)&amp;"")</f>
        <v/>
      </c>
      <c r="D340">
        <f>IF(B340="","",INDEX(D_SEQ,B340))</f>
        <v/>
      </c>
      <c r="E340">
        <f>IF(B340="","",IFERROR(VALUE(INDEX(D_VAL,B340)&amp;""),""))</f>
        <v/>
      </c>
      <c r="F340">
        <f>IF(B340="","",F339+(C340&lt;&gt;C339))</f>
        <v/>
      </c>
      <c r="G340">
        <f>IF(B340="","",F340&amp;"|"&amp;D340)</f>
        <v/>
      </c>
    </row>
    <row r="341">
      <c r="A341" t="n">
        <v>330</v>
      </c>
      <c r="B341">
        <f>IF(A341&lt;=$B$4,$B$3+A341-1,"")</f>
        <v/>
      </c>
      <c r="C341">
        <f>IF(B341="","",INDEX(D_LOT,B341)&amp;"")</f>
        <v/>
      </c>
      <c r="D341">
        <f>IF(B341="","",INDEX(D_SEQ,B341))</f>
        <v/>
      </c>
      <c r="E341">
        <f>IF(B341="","",IFERROR(VALUE(INDEX(D_VAL,B341)&amp;""),""))</f>
        <v/>
      </c>
      <c r="F341">
        <f>IF(B341="","",F340+(C341&lt;&gt;C340))</f>
        <v/>
      </c>
      <c r="G341">
        <f>IF(B341="","",F341&amp;"|"&amp;D341)</f>
        <v/>
      </c>
    </row>
    <row r="342">
      <c r="A342" t="n">
        <v>331</v>
      </c>
      <c r="B342">
        <f>IF(A342&lt;=$B$4,$B$3+A342-1,"")</f>
        <v/>
      </c>
      <c r="C342">
        <f>IF(B342="","",INDEX(D_LOT,B342)&amp;"")</f>
        <v/>
      </c>
      <c r="D342">
        <f>IF(B342="","",INDEX(D_SEQ,B342))</f>
        <v/>
      </c>
      <c r="E342">
        <f>IF(B342="","",IFERROR(VALUE(INDEX(D_VAL,B342)&amp;""),""))</f>
        <v/>
      </c>
      <c r="F342">
        <f>IF(B342="","",F341+(C342&lt;&gt;C341))</f>
        <v/>
      </c>
      <c r="G342">
        <f>IF(B342="","",F342&amp;"|"&amp;D342)</f>
        <v/>
      </c>
    </row>
    <row r="343">
      <c r="A343" t="n">
        <v>332</v>
      </c>
      <c r="B343">
        <f>IF(A343&lt;=$B$4,$B$3+A343-1,"")</f>
        <v/>
      </c>
      <c r="C343">
        <f>IF(B343="","",INDEX(D_LOT,B343)&amp;"")</f>
        <v/>
      </c>
      <c r="D343">
        <f>IF(B343="","",INDEX(D_SEQ,B343))</f>
        <v/>
      </c>
      <c r="E343">
        <f>IF(B343="","",IFERROR(VALUE(INDEX(D_VAL,B343)&amp;""),""))</f>
        <v/>
      </c>
      <c r="F343">
        <f>IF(B343="","",F342+(C343&lt;&gt;C342))</f>
        <v/>
      </c>
      <c r="G343">
        <f>IF(B343="","",F343&amp;"|"&amp;D343)</f>
        <v/>
      </c>
    </row>
    <row r="344">
      <c r="A344" t="n">
        <v>333</v>
      </c>
      <c r="B344">
        <f>IF(A344&lt;=$B$4,$B$3+A344-1,"")</f>
        <v/>
      </c>
      <c r="C344">
        <f>IF(B344="","",INDEX(D_LOT,B344)&amp;"")</f>
        <v/>
      </c>
      <c r="D344">
        <f>IF(B344="","",INDEX(D_SEQ,B344))</f>
        <v/>
      </c>
      <c r="E344">
        <f>IF(B344="","",IFERROR(VALUE(INDEX(D_VAL,B344)&amp;""),""))</f>
        <v/>
      </c>
      <c r="F344">
        <f>IF(B344="","",F343+(C344&lt;&gt;C343))</f>
        <v/>
      </c>
      <c r="G344">
        <f>IF(B344="","",F344&amp;"|"&amp;D344)</f>
        <v/>
      </c>
    </row>
    <row r="345">
      <c r="A345" t="n">
        <v>334</v>
      </c>
      <c r="B345">
        <f>IF(A345&lt;=$B$4,$B$3+A345-1,"")</f>
        <v/>
      </c>
      <c r="C345">
        <f>IF(B345="","",INDEX(D_LOT,B345)&amp;"")</f>
        <v/>
      </c>
      <c r="D345">
        <f>IF(B345="","",INDEX(D_SEQ,B345))</f>
        <v/>
      </c>
      <c r="E345">
        <f>IF(B345="","",IFERROR(VALUE(INDEX(D_VAL,B345)&amp;""),""))</f>
        <v/>
      </c>
      <c r="F345">
        <f>IF(B345="","",F344+(C345&lt;&gt;C344))</f>
        <v/>
      </c>
      <c r="G345">
        <f>IF(B345="","",F345&amp;"|"&amp;D345)</f>
        <v/>
      </c>
    </row>
    <row r="346">
      <c r="A346" t="n">
        <v>335</v>
      </c>
      <c r="B346">
        <f>IF(A346&lt;=$B$4,$B$3+A346-1,"")</f>
        <v/>
      </c>
      <c r="C346">
        <f>IF(B346="","",INDEX(D_LOT,B346)&amp;"")</f>
        <v/>
      </c>
      <c r="D346">
        <f>IF(B346="","",INDEX(D_SEQ,B346))</f>
        <v/>
      </c>
      <c r="E346">
        <f>IF(B346="","",IFERROR(VALUE(INDEX(D_VAL,B346)&amp;""),""))</f>
        <v/>
      </c>
      <c r="F346">
        <f>IF(B346="","",F345+(C346&lt;&gt;C345))</f>
        <v/>
      </c>
      <c r="G346">
        <f>IF(B346="","",F346&amp;"|"&amp;D346)</f>
        <v/>
      </c>
    </row>
    <row r="347">
      <c r="A347" t="n">
        <v>336</v>
      </c>
      <c r="B347">
        <f>IF(A347&lt;=$B$4,$B$3+A347-1,"")</f>
        <v/>
      </c>
      <c r="C347">
        <f>IF(B347="","",INDEX(D_LOT,B347)&amp;"")</f>
        <v/>
      </c>
      <c r="D347">
        <f>IF(B347="","",INDEX(D_SEQ,B347))</f>
        <v/>
      </c>
      <c r="E347">
        <f>IF(B347="","",IFERROR(VALUE(INDEX(D_VAL,B347)&amp;""),""))</f>
        <v/>
      </c>
      <c r="F347">
        <f>IF(B347="","",F346+(C347&lt;&gt;C346))</f>
        <v/>
      </c>
      <c r="G347">
        <f>IF(B347="","",F347&amp;"|"&amp;D347)</f>
        <v/>
      </c>
    </row>
    <row r="348">
      <c r="A348" t="n">
        <v>337</v>
      </c>
      <c r="B348">
        <f>IF(A348&lt;=$B$4,$B$3+A348-1,"")</f>
        <v/>
      </c>
      <c r="C348">
        <f>IF(B348="","",INDEX(D_LOT,B348)&amp;"")</f>
        <v/>
      </c>
      <c r="D348">
        <f>IF(B348="","",INDEX(D_SEQ,B348))</f>
        <v/>
      </c>
      <c r="E348">
        <f>IF(B348="","",IFERROR(VALUE(INDEX(D_VAL,B348)&amp;""),""))</f>
        <v/>
      </c>
      <c r="F348">
        <f>IF(B348="","",F347+(C348&lt;&gt;C347))</f>
        <v/>
      </c>
      <c r="G348">
        <f>IF(B348="","",F348&amp;"|"&amp;D348)</f>
        <v/>
      </c>
    </row>
    <row r="349">
      <c r="A349" t="n">
        <v>338</v>
      </c>
      <c r="B349">
        <f>IF(A349&lt;=$B$4,$B$3+A349-1,"")</f>
        <v/>
      </c>
      <c r="C349">
        <f>IF(B349="","",INDEX(D_LOT,B349)&amp;"")</f>
        <v/>
      </c>
      <c r="D349">
        <f>IF(B349="","",INDEX(D_SEQ,B349))</f>
        <v/>
      </c>
      <c r="E349">
        <f>IF(B349="","",IFERROR(VALUE(INDEX(D_VAL,B349)&amp;""),""))</f>
        <v/>
      </c>
      <c r="F349">
        <f>IF(B349="","",F348+(C349&lt;&gt;C348))</f>
        <v/>
      </c>
      <c r="G349">
        <f>IF(B349="","",F349&amp;"|"&amp;D349)</f>
        <v/>
      </c>
    </row>
    <row r="350">
      <c r="A350" t="n">
        <v>339</v>
      </c>
      <c r="B350">
        <f>IF(A350&lt;=$B$4,$B$3+A350-1,"")</f>
        <v/>
      </c>
      <c r="C350">
        <f>IF(B350="","",INDEX(D_LOT,B350)&amp;"")</f>
        <v/>
      </c>
      <c r="D350">
        <f>IF(B350="","",INDEX(D_SEQ,B350))</f>
        <v/>
      </c>
      <c r="E350">
        <f>IF(B350="","",IFERROR(VALUE(INDEX(D_VAL,B350)&amp;""),""))</f>
        <v/>
      </c>
      <c r="F350">
        <f>IF(B350="","",F349+(C350&lt;&gt;C349))</f>
        <v/>
      </c>
      <c r="G350">
        <f>IF(B350="","",F350&amp;"|"&amp;D350)</f>
        <v/>
      </c>
    </row>
    <row r="351">
      <c r="A351" t="n">
        <v>340</v>
      </c>
      <c r="B351">
        <f>IF(A351&lt;=$B$4,$B$3+A351-1,"")</f>
        <v/>
      </c>
      <c r="C351">
        <f>IF(B351="","",INDEX(D_LOT,B351)&amp;"")</f>
        <v/>
      </c>
      <c r="D351">
        <f>IF(B351="","",INDEX(D_SEQ,B351))</f>
        <v/>
      </c>
      <c r="E351">
        <f>IF(B351="","",IFERROR(VALUE(INDEX(D_VAL,B351)&amp;""),""))</f>
        <v/>
      </c>
      <c r="F351">
        <f>IF(B351="","",F350+(C351&lt;&gt;C350))</f>
        <v/>
      </c>
      <c r="G351">
        <f>IF(B351="","",F351&amp;"|"&amp;D351)</f>
        <v/>
      </c>
    </row>
    <row r="352">
      <c r="A352" t="n">
        <v>341</v>
      </c>
      <c r="B352">
        <f>IF(A352&lt;=$B$4,$B$3+A352-1,"")</f>
        <v/>
      </c>
      <c r="C352">
        <f>IF(B352="","",INDEX(D_LOT,B352)&amp;"")</f>
        <v/>
      </c>
      <c r="D352">
        <f>IF(B352="","",INDEX(D_SEQ,B352))</f>
        <v/>
      </c>
      <c r="E352">
        <f>IF(B352="","",IFERROR(VALUE(INDEX(D_VAL,B352)&amp;""),""))</f>
        <v/>
      </c>
      <c r="F352">
        <f>IF(B352="","",F351+(C352&lt;&gt;C351))</f>
        <v/>
      </c>
      <c r="G352">
        <f>IF(B352="","",F352&amp;"|"&amp;D352)</f>
        <v/>
      </c>
    </row>
    <row r="353">
      <c r="A353" t="n">
        <v>342</v>
      </c>
      <c r="B353">
        <f>IF(A353&lt;=$B$4,$B$3+A353-1,"")</f>
        <v/>
      </c>
      <c r="C353">
        <f>IF(B353="","",INDEX(D_LOT,B353)&amp;"")</f>
        <v/>
      </c>
      <c r="D353">
        <f>IF(B353="","",INDEX(D_SEQ,B353))</f>
        <v/>
      </c>
      <c r="E353">
        <f>IF(B353="","",IFERROR(VALUE(INDEX(D_VAL,B353)&amp;""),""))</f>
        <v/>
      </c>
      <c r="F353">
        <f>IF(B353="","",F352+(C353&lt;&gt;C352))</f>
        <v/>
      </c>
      <c r="G353">
        <f>IF(B353="","",F353&amp;"|"&amp;D353)</f>
        <v/>
      </c>
    </row>
    <row r="354">
      <c r="A354" t="n">
        <v>343</v>
      </c>
      <c r="B354">
        <f>IF(A354&lt;=$B$4,$B$3+A354-1,"")</f>
        <v/>
      </c>
      <c r="C354">
        <f>IF(B354="","",INDEX(D_LOT,B354)&amp;"")</f>
        <v/>
      </c>
      <c r="D354">
        <f>IF(B354="","",INDEX(D_SEQ,B354))</f>
        <v/>
      </c>
      <c r="E354">
        <f>IF(B354="","",IFERROR(VALUE(INDEX(D_VAL,B354)&amp;""),""))</f>
        <v/>
      </c>
      <c r="F354">
        <f>IF(B354="","",F353+(C354&lt;&gt;C353))</f>
        <v/>
      </c>
      <c r="G354">
        <f>IF(B354="","",F354&amp;"|"&amp;D354)</f>
        <v/>
      </c>
    </row>
    <row r="355">
      <c r="A355" t="n">
        <v>344</v>
      </c>
      <c r="B355">
        <f>IF(A355&lt;=$B$4,$B$3+A355-1,"")</f>
        <v/>
      </c>
      <c r="C355">
        <f>IF(B355="","",INDEX(D_LOT,B355)&amp;"")</f>
        <v/>
      </c>
      <c r="D355">
        <f>IF(B355="","",INDEX(D_SEQ,B355))</f>
        <v/>
      </c>
      <c r="E355">
        <f>IF(B355="","",IFERROR(VALUE(INDEX(D_VAL,B355)&amp;""),""))</f>
        <v/>
      </c>
      <c r="F355">
        <f>IF(B355="","",F354+(C355&lt;&gt;C354))</f>
        <v/>
      </c>
      <c r="G355">
        <f>IF(B355="","",F355&amp;"|"&amp;D355)</f>
        <v/>
      </c>
    </row>
    <row r="356">
      <c r="A356" t="n">
        <v>345</v>
      </c>
      <c r="B356">
        <f>IF(A356&lt;=$B$4,$B$3+A356-1,"")</f>
        <v/>
      </c>
      <c r="C356">
        <f>IF(B356="","",INDEX(D_LOT,B356)&amp;"")</f>
        <v/>
      </c>
      <c r="D356">
        <f>IF(B356="","",INDEX(D_SEQ,B356))</f>
        <v/>
      </c>
      <c r="E356">
        <f>IF(B356="","",IFERROR(VALUE(INDEX(D_VAL,B356)&amp;""),""))</f>
        <v/>
      </c>
      <c r="F356">
        <f>IF(B356="","",F355+(C356&lt;&gt;C355))</f>
        <v/>
      </c>
      <c r="G356">
        <f>IF(B356="","",F356&amp;"|"&amp;D356)</f>
        <v/>
      </c>
    </row>
    <row r="357">
      <c r="A357" t="n">
        <v>346</v>
      </c>
      <c r="B357">
        <f>IF(A357&lt;=$B$4,$B$3+A357-1,"")</f>
        <v/>
      </c>
      <c r="C357">
        <f>IF(B357="","",INDEX(D_LOT,B357)&amp;"")</f>
        <v/>
      </c>
      <c r="D357">
        <f>IF(B357="","",INDEX(D_SEQ,B357))</f>
        <v/>
      </c>
      <c r="E357">
        <f>IF(B357="","",IFERROR(VALUE(INDEX(D_VAL,B357)&amp;""),""))</f>
        <v/>
      </c>
      <c r="F357">
        <f>IF(B357="","",F356+(C357&lt;&gt;C356))</f>
        <v/>
      </c>
      <c r="G357">
        <f>IF(B357="","",F357&amp;"|"&amp;D357)</f>
        <v/>
      </c>
    </row>
    <row r="358">
      <c r="A358" t="n">
        <v>347</v>
      </c>
      <c r="B358">
        <f>IF(A358&lt;=$B$4,$B$3+A358-1,"")</f>
        <v/>
      </c>
      <c r="C358">
        <f>IF(B358="","",INDEX(D_LOT,B358)&amp;"")</f>
        <v/>
      </c>
      <c r="D358">
        <f>IF(B358="","",INDEX(D_SEQ,B358))</f>
        <v/>
      </c>
      <c r="E358">
        <f>IF(B358="","",IFERROR(VALUE(INDEX(D_VAL,B358)&amp;""),""))</f>
        <v/>
      </c>
      <c r="F358">
        <f>IF(B358="","",F357+(C358&lt;&gt;C357))</f>
        <v/>
      </c>
      <c r="G358">
        <f>IF(B358="","",F358&amp;"|"&amp;D358)</f>
        <v/>
      </c>
    </row>
    <row r="359">
      <c r="A359" t="n">
        <v>348</v>
      </c>
      <c r="B359">
        <f>IF(A359&lt;=$B$4,$B$3+A359-1,"")</f>
        <v/>
      </c>
      <c r="C359">
        <f>IF(B359="","",INDEX(D_LOT,B359)&amp;"")</f>
        <v/>
      </c>
      <c r="D359">
        <f>IF(B359="","",INDEX(D_SEQ,B359))</f>
        <v/>
      </c>
      <c r="E359">
        <f>IF(B359="","",IFERROR(VALUE(INDEX(D_VAL,B359)&amp;""),""))</f>
        <v/>
      </c>
      <c r="F359">
        <f>IF(B359="","",F358+(C359&lt;&gt;C358))</f>
        <v/>
      </c>
      <c r="G359">
        <f>IF(B359="","",F359&amp;"|"&amp;D359)</f>
        <v/>
      </c>
    </row>
    <row r="360">
      <c r="A360" t="n">
        <v>349</v>
      </c>
      <c r="B360">
        <f>IF(A360&lt;=$B$4,$B$3+A360-1,"")</f>
        <v/>
      </c>
      <c r="C360">
        <f>IF(B360="","",INDEX(D_LOT,B360)&amp;"")</f>
        <v/>
      </c>
      <c r="D360">
        <f>IF(B360="","",INDEX(D_SEQ,B360))</f>
        <v/>
      </c>
      <c r="E360">
        <f>IF(B360="","",IFERROR(VALUE(INDEX(D_VAL,B360)&amp;""),""))</f>
        <v/>
      </c>
      <c r="F360">
        <f>IF(B360="","",F359+(C360&lt;&gt;C359))</f>
        <v/>
      </c>
      <c r="G360">
        <f>IF(B360="","",F360&amp;"|"&amp;D360)</f>
        <v/>
      </c>
    </row>
    <row r="361">
      <c r="A361" t="n">
        <v>350</v>
      </c>
      <c r="B361">
        <f>IF(A361&lt;=$B$4,$B$3+A361-1,"")</f>
        <v/>
      </c>
      <c r="C361">
        <f>IF(B361="","",INDEX(D_LOT,B361)&amp;"")</f>
        <v/>
      </c>
      <c r="D361">
        <f>IF(B361="","",INDEX(D_SEQ,B361))</f>
        <v/>
      </c>
      <c r="E361">
        <f>IF(B361="","",IFERROR(VALUE(INDEX(D_VAL,B361)&amp;""),""))</f>
        <v/>
      </c>
      <c r="F361">
        <f>IF(B361="","",F360+(C361&lt;&gt;C360))</f>
        <v/>
      </c>
      <c r="G361">
        <f>IF(B361="","",F361&amp;"|"&amp;D361)</f>
        <v/>
      </c>
    </row>
    <row r="362">
      <c r="A362" t="n">
        <v>351</v>
      </c>
      <c r="B362">
        <f>IF(A362&lt;=$B$4,$B$3+A362-1,"")</f>
        <v/>
      </c>
      <c r="C362">
        <f>IF(B362="","",INDEX(D_LOT,B362)&amp;"")</f>
        <v/>
      </c>
      <c r="D362">
        <f>IF(B362="","",INDEX(D_SEQ,B362))</f>
        <v/>
      </c>
      <c r="E362">
        <f>IF(B362="","",IFERROR(VALUE(INDEX(D_VAL,B362)&amp;""),""))</f>
        <v/>
      </c>
      <c r="F362">
        <f>IF(B362="","",F361+(C362&lt;&gt;C361))</f>
        <v/>
      </c>
      <c r="G362">
        <f>IF(B362="","",F362&amp;"|"&amp;D362)</f>
        <v/>
      </c>
    </row>
    <row r="363">
      <c r="A363" t="n">
        <v>352</v>
      </c>
      <c r="B363">
        <f>IF(A363&lt;=$B$4,$B$3+A363-1,"")</f>
        <v/>
      </c>
      <c r="C363">
        <f>IF(B363="","",INDEX(D_LOT,B363)&amp;"")</f>
        <v/>
      </c>
      <c r="D363">
        <f>IF(B363="","",INDEX(D_SEQ,B363))</f>
        <v/>
      </c>
      <c r="E363">
        <f>IF(B363="","",IFERROR(VALUE(INDEX(D_VAL,B363)&amp;""),""))</f>
        <v/>
      </c>
      <c r="F363">
        <f>IF(B363="","",F362+(C363&lt;&gt;C362))</f>
        <v/>
      </c>
      <c r="G363">
        <f>IF(B363="","",F363&amp;"|"&amp;D363)</f>
        <v/>
      </c>
    </row>
    <row r="364">
      <c r="A364" t="n">
        <v>353</v>
      </c>
      <c r="B364">
        <f>IF(A364&lt;=$B$4,$B$3+A364-1,"")</f>
        <v/>
      </c>
      <c r="C364">
        <f>IF(B364="","",INDEX(D_LOT,B364)&amp;"")</f>
        <v/>
      </c>
      <c r="D364">
        <f>IF(B364="","",INDEX(D_SEQ,B364))</f>
        <v/>
      </c>
      <c r="E364">
        <f>IF(B364="","",IFERROR(VALUE(INDEX(D_VAL,B364)&amp;""),""))</f>
        <v/>
      </c>
      <c r="F364">
        <f>IF(B364="","",F363+(C364&lt;&gt;C363))</f>
        <v/>
      </c>
      <c r="G364">
        <f>IF(B364="","",F364&amp;"|"&amp;D364)</f>
        <v/>
      </c>
    </row>
    <row r="365">
      <c r="A365" t="n">
        <v>354</v>
      </c>
      <c r="B365">
        <f>IF(A365&lt;=$B$4,$B$3+A365-1,"")</f>
        <v/>
      </c>
      <c r="C365">
        <f>IF(B365="","",INDEX(D_LOT,B365)&amp;"")</f>
        <v/>
      </c>
      <c r="D365">
        <f>IF(B365="","",INDEX(D_SEQ,B365))</f>
        <v/>
      </c>
      <c r="E365">
        <f>IF(B365="","",IFERROR(VALUE(INDEX(D_VAL,B365)&amp;""),""))</f>
        <v/>
      </c>
      <c r="F365">
        <f>IF(B365="","",F364+(C365&lt;&gt;C364))</f>
        <v/>
      </c>
      <c r="G365">
        <f>IF(B365="","",F365&amp;"|"&amp;D365)</f>
        <v/>
      </c>
    </row>
    <row r="366">
      <c r="A366" t="n">
        <v>355</v>
      </c>
      <c r="B366">
        <f>IF(A366&lt;=$B$4,$B$3+A366-1,"")</f>
        <v/>
      </c>
      <c r="C366">
        <f>IF(B366="","",INDEX(D_LOT,B366)&amp;"")</f>
        <v/>
      </c>
      <c r="D366">
        <f>IF(B366="","",INDEX(D_SEQ,B366))</f>
        <v/>
      </c>
      <c r="E366">
        <f>IF(B366="","",IFERROR(VALUE(INDEX(D_VAL,B366)&amp;""),""))</f>
        <v/>
      </c>
      <c r="F366">
        <f>IF(B366="","",F365+(C366&lt;&gt;C365))</f>
        <v/>
      </c>
      <c r="G366">
        <f>IF(B366="","",F366&amp;"|"&amp;D366)</f>
        <v/>
      </c>
    </row>
    <row r="367">
      <c r="A367" t="n">
        <v>356</v>
      </c>
      <c r="B367">
        <f>IF(A367&lt;=$B$4,$B$3+A367-1,"")</f>
        <v/>
      </c>
      <c r="C367">
        <f>IF(B367="","",INDEX(D_LOT,B367)&amp;"")</f>
        <v/>
      </c>
      <c r="D367">
        <f>IF(B367="","",INDEX(D_SEQ,B367))</f>
        <v/>
      </c>
      <c r="E367">
        <f>IF(B367="","",IFERROR(VALUE(INDEX(D_VAL,B367)&amp;""),""))</f>
        <v/>
      </c>
      <c r="F367">
        <f>IF(B367="","",F366+(C367&lt;&gt;C366))</f>
        <v/>
      </c>
      <c r="G367">
        <f>IF(B367="","",F367&amp;"|"&amp;D367)</f>
        <v/>
      </c>
    </row>
    <row r="368">
      <c r="A368" t="n">
        <v>357</v>
      </c>
      <c r="B368">
        <f>IF(A368&lt;=$B$4,$B$3+A368-1,"")</f>
        <v/>
      </c>
      <c r="C368">
        <f>IF(B368="","",INDEX(D_LOT,B368)&amp;"")</f>
        <v/>
      </c>
      <c r="D368">
        <f>IF(B368="","",INDEX(D_SEQ,B368))</f>
        <v/>
      </c>
      <c r="E368">
        <f>IF(B368="","",IFERROR(VALUE(INDEX(D_VAL,B368)&amp;""),""))</f>
        <v/>
      </c>
      <c r="F368">
        <f>IF(B368="","",F367+(C368&lt;&gt;C367))</f>
        <v/>
      </c>
      <c r="G368">
        <f>IF(B368="","",F368&amp;"|"&amp;D368)</f>
        <v/>
      </c>
    </row>
    <row r="369">
      <c r="A369" t="n">
        <v>358</v>
      </c>
      <c r="B369">
        <f>IF(A369&lt;=$B$4,$B$3+A369-1,"")</f>
        <v/>
      </c>
      <c r="C369">
        <f>IF(B369="","",INDEX(D_LOT,B369)&amp;"")</f>
        <v/>
      </c>
      <c r="D369">
        <f>IF(B369="","",INDEX(D_SEQ,B369))</f>
        <v/>
      </c>
      <c r="E369">
        <f>IF(B369="","",IFERROR(VALUE(INDEX(D_VAL,B369)&amp;""),""))</f>
        <v/>
      </c>
      <c r="F369">
        <f>IF(B369="","",F368+(C369&lt;&gt;C368))</f>
        <v/>
      </c>
      <c r="G369">
        <f>IF(B369="","",F369&amp;"|"&amp;D369)</f>
        <v/>
      </c>
    </row>
    <row r="370">
      <c r="A370" t="n">
        <v>359</v>
      </c>
      <c r="B370">
        <f>IF(A370&lt;=$B$4,$B$3+A370-1,"")</f>
        <v/>
      </c>
      <c r="C370">
        <f>IF(B370="","",INDEX(D_LOT,B370)&amp;"")</f>
        <v/>
      </c>
      <c r="D370">
        <f>IF(B370="","",INDEX(D_SEQ,B370))</f>
        <v/>
      </c>
      <c r="E370">
        <f>IF(B370="","",IFERROR(VALUE(INDEX(D_VAL,B370)&amp;""),""))</f>
        <v/>
      </c>
      <c r="F370">
        <f>IF(B370="","",F369+(C370&lt;&gt;C369))</f>
        <v/>
      </c>
      <c r="G370">
        <f>IF(B370="","",F370&amp;"|"&amp;D370)</f>
        <v/>
      </c>
    </row>
    <row r="371">
      <c r="A371" t="n">
        <v>360</v>
      </c>
      <c r="B371">
        <f>IF(A371&lt;=$B$4,$B$3+A371-1,"")</f>
        <v/>
      </c>
      <c r="C371">
        <f>IF(B371="","",INDEX(D_LOT,B371)&amp;"")</f>
        <v/>
      </c>
      <c r="D371">
        <f>IF(B371="","",INDEX(D_SEQ,B371))</f>
        <v/>
      </c>
      <c r="E371">
        <f>IF(B371="","",IFERROR(VALUE(INDEX(D_VAL,B371)&amp;""),""))</f>
        <v/>
      </c>
      <c r="F371">
        <f>IF(B371="","",F370+(C371&lt;&gt;C370))</f>
        <v/>
      </c>
      <c r="G371">
        <f>IF(B371="","",F371&amp;"|"&amp;D371)</f>
        <v/>
      </c>
    </row>
    <row r="372">
      <c r="A372" t="n">
        <v>361</v>
      </c>
      <c r="B372">
        <f>IF(A372&lt;=$B$4,$B$3+A372-1,"")</f>
        <v/>
      </c>
      <c r="C372">
        <f>IF(B372="","",INDEX(D_LOT,B372)&amp;"")</f>
        <v/>
      </c>
      <c r="D372">
        <f>IF(B372="","",INDEX(D_SEQ,B372))</f>
        <v/>
      </c>
      <c r="E372">
        <f>IF(B372="","",IFERROR(VALUE(INDEX(D_VAL,B372)&amp;""),""))</f>
        <v/>
      </c>
      <c r="F372">
        <f>IF(B372="","",F371+(C372&lt;&gt;C371))</f>
        <v/>
      </c>
      <c r="G372">
        <f>IF(B372="","",F372&amp;"|"&amp;D372)</f>
        <v/>
      </c>
    </row>
    <row r="373">
      <c r="A373" t="n">
        <v>362</v>
      </c>
      <c r="B373">
        <f>IF(A373&lt;=$B$4,$B$3+A373-1,"")</f>
        <v/>
      </c>
      <c r="C373">
        <f>IF(B373="","",INDEX(D_LOT,B373)&amp;"")</f>
        <v/>
      </c>
      <c r="D373">
        <f>IF(B373="","",INDEX(D_SEQ,B373))</f>
        <v/>
      </c>
      <c r="E373">
        <f>IF(B373="","",IFERROR(VALUE(INDEX(D_VAL,B373)&amp;""),""))</f>
        <v/>
      </c>
      <c r="F373">
        <f>IF(B373="","",F372+(C373&lt;&gt;C372))</f>
        <v/>
      </c>
      <c r="G373">
        <f>IF(B373="","",F373&amp;"|"&amp;D373)</f>
        <v/>
      </c>
    </row>
    <row r="374">
      <c r="A374" t="n">
        <v>363</v>
      </c>
      <c r="B374">
        <f>IF(A374&lt;=$B$4,$B$3+A374-1,"")</f>
        <v/>
      </c>
      <c r="C374">
        <f>IF(B374="","",INDEX(D_LOT,B374)&amp;"")</f>
        <v/>
      </c>
      <c r="D374">
        <f>IF(B374="","",INDEX(D_SEQ,B374))</f>
        <v/>
      </c>
      <c r="E374">
        <f>IF(B374="","",IFERROR(VALUE(INDEX(D_VAL,B374)&amp;""),""))</f>
        <v/>
      </c>
      <c r="F374">
        <f>IF(B374="","",F373+(C374&lt;&gt;C373))</f>
        <v/>
      </c>
      <c r="G374">
        <f>IF(B374="","",F374&amp;"|"&amp;D374)</f>
        <v/>
      </c>
    </row>
    <row r="375">
      <c r="A375" t="n">
        <v>364</v>
      </c>
      <c r="B375">
        <f>IF(A375&lt;=$B$4,$B$3+A375-1,"")</f>
        <v/>
      </c>
      <c r="C375">
        <f>IF(B375="","",INDEX(D_LOT,B375)&amp;"")</f>
        <v/>
      </c>
      <c r="D375">
        <f>IF(B375="","",INDEX(D_SEQ,B375))</f>
        <v/>
      </c>
      <c r="E375">
        <f>IF(B375="","",IFERROR(VALUE(INDEX(D_VAL,B375)&amp;""),""))</f>
        <v/>
      </c>
      <c r="F375">
        <f>IF(B375="","",F374+(C375&lt;&gt;C374))</f>
        <v/>
      </c>
      <c r="G375">
        <f>IF(B375="","",F375&amp;"|"&amp;D375)</f>
        <v/>
      </c>
    </row>
    <row r="376">
      <c r="A376" t="n">
        <v>365</v>
      </c>
      <c r="B376">
        <f>IF(A376&lt;=$B$4,$B$3+A376-1,"")</f>
        <v/>
      </c>
      <c r="C376">
        <f>IF(B376="","",INDEX(D_LOT,B376)&amp;"")</f>
        <v/>
      </c>
      <c r="D376">
        <f>IF(B376="","",INDEX(D_SEQ,B376))</f>
        <v/>
      </c>
      <c r="E376">
        <f>IF(B376="","",IFERROR(VALUE(INDEX(D_VAL,B376)&amp;""),""))</f>
        <v/>
      </c>
      <c r="F376">
        <f>IF(B376="","",F375+(C376&lt;&gt;C375))</f>
        <v/>
      </c>
      <c r="G376">
        <f>IF(B376="","",F376&amp;"|"&amp;D376)</f>
        <v/>
      </c>
    </row>
    <row r="377">
      <c r="A377" t="n">
        <v>366</v>
      </c>
      <c r="B377">
        <f>IF(A377&lt;=$B$4,$B$3+A377-1,"")</f>
        <v/>
      </c>
      <c r="C377">
        <f>IF(B377="","",INDEX(D_LOT,B377)&amp;"")</f>
        <v/>
      </c>
      <c r="D377">
        <f>IF(B377="","",INDEX(D_SEQ,B377))</f>
        <v/>
      </c>
      <c r="E377">
        <f>IF(B377="","",IFERROR(VALUE(INDEX(D_VAL,B377)&amp;""),""))</f>
        <v/>
      </c>
      <c r="F377">
        <f>IF(B377="","",F376+(C377&lt;&gt;C376))</f>
        <v/>
      </c>
      <c r="G377">
        <f>IF(B377="","",F377&amp;"|"&amp;D377)</f>
        <v/>
      </c>
    </row>
    <row r="378">
      <c r="A378" t="n">
        <v>367</v>
      </c>
      <c r="B378">
        <f>IF(A378&lt;=$B$4,$B$3+A378-1,"")</f>
        <v/>
      </c>
      <c r="C378">
        <f>IF(B378="","",INDEX(D_LOT,B378)&amp;"")</f>
        <v/>
      </c>
      <c r="D378">
        <f>IF(B378="","",INDEX(D_SEQ,B378))</f>
        <v/>
      </c>
      <c r="E378">
        <f>IF(B378="","",IFERROR(VALUE(INDEX(D_VAL,B378)&amp;""),""))</f>
        <v/>
      </c>
      <c r="F378">
        <f>IF(B378="","",F377+(C378&lt;&gt;C377))</f>
        <v/>
      </c>
      <c r="G378">
        <f>IF(B378="","",F378&amp;"|"&amp;D378)</f>
        <v/>
      </c>
    </row>
    <row r="379">
      <c r="A379" t="n">
        <v>368</v>
      </c>
      <c r="B379">
        <f>IF(A379&lt;=$B$4,$B$3+A379-1,"")</f>
        <v/>
      </c>
      <c r="C379">
        <f>IF(B379="","",INDEX(D_LOT,B379)&amp;"")</f>
        <v/>
      </c>
      <c r="D379">
        <f>IF(B379="","",INDEX(D_SEQ,B379))</f>
        <v/>
      </c>
      <c r="E379">
        <f>IF(B379="","",IFERROR(VALUE(INDEX(D_VAL,B379)&amp;""),""))</f>
        <v/>
      </c>
      <c r="F379">
        <f>IF(B379="","",F378+(C379&lt;&gt;C378))</f>
        <v/>
      </c>
      <c r="G379">
        <f>IF(B379="","",F379&amp;"|"&amp;D379)</f>
        <v/>
      </c>
    </row>
    <row r="380">
      <c r="A380" t="n">
        <v>369</v>
      </c>
      <c r="B380">
        <f>IF(A380&lt;=$B$4,$B$3+A380-1,"")</f>
        <v/>
      </c>
      <c r="C380">
        <f>IF(B380="","",INDEX(D_LOT,B380)&amp;"")</f>
        <v/>
      </c>
      <c r="D380">
        <f>IF(B380="","",INDEX(D_SEQ,B380))</f>
        <v/>
      </c>
      <c r="E380">
        <f>IF(B380="","",IFERROR(VALUE(INDEX(D_VAL,B380)&amp;""),""))</f>
        <v/>
      </c>
      <c r="F380">
        <f>IF(B380="","",F379+(C380&lt;&gt;C379))</f>
        <v/>
      </c>
      <c r="G380">
        <f>IF(B380="","",F380&amp;"|"&amp;D380)</f>
        <v/>
      </c>
    </row>
    <row r="381">
      <c r="A381" t="n">
        <v>370</v>
      </c>
      <c r="B381">
        <f>IF(A381&lt;=$B$4,$B$3+A381-1,"")</f>
        <v/>
      </c>
      <c r="C381">
        <f>IF(B381="","",INDEX(D_LOT,B381)&amp;"")</f>
        <v/>
      </c>
      <c r="D381">
        <f>IF(B381="","",INDEX(D_SEQ,B381))</f>
        <v/>
      </c>
      <c r="E381">
        <f>IF(B381="","",IFERROR(VALUE(INDEX(D_VAL,B381)&amp;""),""))</f>
        <v/>
      </c>
      <c r="F381">
        <f>IF(B381="","",F380+(C381&lt;&gt;C380))</f>
        <v/>
      </c>
      <c r="G381">
        <f>IF(B381="","",F381&amp;"|"&amp;D381)</f>
        <v/>
      </c>
    </row>
    <row r="382">
      <c r="A382" t="n">
        <v>371</v>
      </c>
      <c r="B382">
        <f>IF(A382&lt;=$B$4,$B$3+A382-1,"")</f>
        <v/>
      </c>
      <c r="C382">
        <f>IF(B382="","",INDEX(D_LOT,B382)&amp;"")</f>
        <v/>
      </c>
      <c r="D382">
        <f>IF(B382="","",INDEX(D_SEQ,B382))</f>
        <v/>
      </c>
      <c r="E382">
        <f>IF(B382="","",IFERROR(VALUE(INDEX(D_VAL,B382)&amp;""),""))</f>
        <v/>
      </c>
      <c r="F382">
        <f>IF(B382="","",F381+(C382&lt;&gt;C381))</f>
        <v/>
      </c>
      <c r="G382">
        <f>IF(B382="","",F382&amp;"|"&amp;D382)</f>
        <v/>
      </c>
    </row>
    <row r="383">
      <c r="A383" t="n">
        <v>372</v>
      </c>
      <c r="B383">
        <f>IF(A383&lt;=$B$4,$B$3+A383-1,"")</f>
        <v/>
      </c>
      <c r="C383">
        <f>IF(B383="","",INDEX(D_LOT,B383)&amp;"")</f>
        <v/>
      </c>
      <c r="D383">
        <f>IF(B383="","",INDEX(D_SEQ,B383))</f>
        <v/>
      </c>
      <c r="E383">
        <f>IF(B383="","",IFERROR(VALUE(INDEX(D_VAL,B383)&amp;""),""))</f>
        <v/>
      </c>
      <c r="F383">
        <f>IF(B383="","",F382+(C383&lt;&gt;C382))</f>
        <v/>
      </c>
      <c r="G383">
        <f>IF(B383="","",F383&amp;"|"&amp;D383)</f>
        <v/>
      </c>
    </row>
    <row r="384">
      <c r="A384" t="n">
        <v>373</v>
      </c>
      <c r="B384">
        <f>IF(A384&lt;=$B$4,$B$3+A384-1,"")</f>
        <v/>
      </c>
      <c r="C384">
        <f>IF(B384="","",INDEX(D_LOT,B384)&amp;"")</f>
        <v/>
      </c>
      <c r="D384">
        <f>IF(B384="","",INDEX(D_SEQ,B384))</f>
        <v/>
      </c>
      <c r="E384">
        <f>IF(B384="","",IFERROR(VALUE(INDEX(D_VAL,B384)&amp;""),""))</f>
        <v/>
      </c>
      <c r="F384">
        <f>IF(B384="","",F383+(C384&lt;&gt;C383))</f>
        <v/>
      </c>
      <c r="G384">
        <f>IF(B384="","",F384&amp;"|"&amp;D384)</f>
        <v/>
      </c>
    </row>
    <row r="385">
      <c r="A385" t="n">
        <v>374</v>
      </c>
      <c r="B385">
        <f>IF(A385&lt;=$B$4,$B$3+A385-1,"")</f>
        <v/>
      </c>
      <c r="C385">
        <f>IF(B385="","",INDEX(D_LOT,B385)&amp;"")</f>
        <v/>
      </c>
      <c r="D385">
        <f>IF(B385="","",INDEX(D_SEQ,B385))</f>
        <v/>
      </c>
      <c r="E385">
        <f>IF(B385="","",IFERROR(VALUE(INDEX(D_VAL,B385)&amp;""),""))</f>
        <v/>
      </c>
      <c r="F385">
        <f>IF(B385="","",F384+(C385&lt;&gt;C384))</f>
        <v/>
      </c>
      <c r="G385">
        <f>IF(B385="","",F385&amp;"|"&amp;D385)</f>
        <v/>
      </c>
    </row>
    <row r="386">
      <c r="A386" t="n">
        <v>375</v>
      </c>
      <c r="B386">
        <f>IF(A386&lt;=$B$4,$B$3+A386-1,"")</f>
        <v/>
      </c>
      <c r="C386">
        <f>IF(B386="","",INDEX(D_LOT,B386)&amp;"")</f>
        <v/>
      </c>
      <c r="D386">
        <f>IF(B386="","",INDEX(D_SEQ,B386))</f>
        <v/>
      </c>
      <c r="E386">
        <f>IF(B386="","",IFERROR(VALUE(INDEX(D_VAL,B386)&amp;""),""))</f>
        <v/>
      </c>
      <c r="F386">
        <f>IF(B386="","",F385+(C386&lt;&gt;C385))</f>
        <v/>
      </c>
      <c r="G386">
        <f>IF(B386="","",F386&amp;"|"&amp;D386)</f>
        <v/>
      </c>
    </row>
    <row r="387">
      <c r="A387" t="n">
        <v>376</v>
      </c>
      <c r="B387">
        <f>IF(A387&lt;=$B$4,$B$3+A387-1,"")</f>
        <v/>
      </c>
      <c r="C387">
        <f>IF(B387="","",INDEX(D_LOT,B387)&amp;"")</f>
        <v/>
      </c>
      <c r="D387">
        <f>IF(B387="","",INDEX(D_SEQ,B387))</f>
        <v/>
      </c>
      <c r="E387">
        <f>IF(B387="","",IFERROR(VALUE(INDEX(D_VAL,B387)&amp;""),""))</f>
        <v/>
      </c>
      <c r="F387">
        <f>IF(B387="","",F386+(C387&lt;&gt;C386))</f>
        <v/>
      </c>
      <c r="G387">
        <f>IF(B387="","",F387&amp;"|"&amp;D387)</f>
        <v/>
      </c>
    </row>
    <row r="388">
      <c r="A388" t="n">
        <v>377</v>
      </c>
      <c r="B388">
        <f>IF(A388&lt;=$B$4,$B$3+A388-1,"")</f>
        <v/>
      </c>
      <c r="C388">
        <f>IF(B388="","",INDEX(D_LOT,B388)&amp;"")</f>
        <v/>
      </c>
      <c r="D388">
        <f>IF(B388="","",INDEX(D_SEQ,B388))</f>
        <v/>
      </c>
      <c r="E388">
        <f>IF(B388="","",IFERROR(VALUE(INDEX(D_VAL,B388)&amp;""),""))</f>
        <v/>
      </c>
      <c r="F388">
        <f>IF(B388="","",F387+(C388&lt;&gt;C387))</f>
        <v/>
      </c>
      <c r="G388">
        <f>IF(B388="","",F388&amp;"|"&amp;D388)</f>
        <v/>
      </c>
    </row>
    <row r="389">
      <c r="A389" t="n">
        <v>378</v>
      </c>
      <c r="B389">
        <f>IF(A389&lt;=$B$4,$B$3+A389-1,"")</f>
        <v/>
      </c>
      <c r="C389">
        <f>IF(B389="","",INDEX(D_LOT,B389)&amp;"")</f>
        <v/>
      </c>
      <c r="D389">
        <f>IF(B389="","",INDEX(D_SEQ,B389))</f>
        <v/>
      </c>
      <c r="E389">
        <f>IF(B389="","",IFERROR(VALUE(INDEX(D_VAL,B389)&amp;""),""))</f>
        <v/>
      </c>
      <c r="F389">
        <f>IF(B389="","",F388+(C389&lt;&gt;C388))</f>
        <v/>
      </c>
      <c r="G389">
        <f>IF(B389="","",F389&amp;"|"&amp;D389)</f>
        <v/>
      </c>
    </row>
    <row r="390">
      <c r="A390" t="n">
        <v>379</v>
      </c>
      <c r="B390">
        <f>IF(A390&lt;=$B$4,$B$3+A390-1,"")</f>
        <v/>
      </c>
      <c r="C390">
        <f>IF(B390="","",INDEX(D_LOT,B390)&amp;"")</f>
        <v/>
      </c>
      <c r="D390">
        <f>IF(B390="","",INDEX(D_SEQ,B390))</f>
        <v/>
      </c>
      <c r="E390">
        <f>IF(B390="","",IFERROR(VALUE(INDEX(D_VAL,B390)&amp;""),""))</f>
        <v/>
      </c>
      <c r="F390">
        <f>IF(B390="","",F389+(C390&lt;&gt;C389))</f>
        <v/>
      </c>
      <c r="G390">
        <f>IF(B390="","",F390&amp;"|"&amp;D390)</f>
        <v/>
      </c>
    </row>
    <row r="391">
      <c r="A391" t="n">
        <v>380</v>
      </c>
      <c r="B391">
        <f>IF(A391&lt;=$B$4,$B$3+A391-1,"")</f>
        <v/>
      </c>
      <c r="C391">
        <f>IF(B391="","",INDEX(D_LOT,B391)&amp;"")</f>
        <v/>
      </c>
      <c r="D391">
        <f>IF(B391="","",INDEX(D_SEQ,B391))</f>
        <v/>
      </c>
      <c r="E391">
        <f>IF(B391="","",IFERROR(VALUE(INDEX(D_VAL,B391)&amp;""),""))</f>
        <v/>
      </c>
      <c r="F391">
        <f>IF(B391="","",F390+(C391&lt;&gt;C390))</f>
        <v/>
      </c>
      <c r="G391">
        <f>IF(B391="","",F391&amp;"|"&amp;D391)</f>
        <v/>
      </c>
    </row>
    <row r="392">
      <c r="A392" t="n">
        <v>381</v>
      </c>
      <c r="B392">
        <f>IF(A392&lt;=$B$4,$B$3+A392-1,"")</f>
        <v/>
      </c>
      <c r="C392">
        <f>IF(B392="","",INDEX(D_LOT,B392)&amp;"")</f>
        <v/>
      </c>
      <c r="D392">
        <f>IF(B392="","",INDEX(D_SEQ,B392))</f>
        <v/>
      </c>
      <c r="E392">
        <f>IF(B392="","",IFERROR(VALUE(INDEX(D_VAL,B392)&amp;""),""))</f>
        <v/>
      </c>
      <c r="F392">
        <f>IF(B392="","",F391+(C392&lt;&gt;C391))</f>
        <v/>
      </c>
      <c r="G392">
        <f>IF(B392="","",F392&amp;"|"&amp;D392)</f>
        <v/>
      </c>
    </row>
    <row r="393">
      <c r="A393" t="n">
        <v>382</v>
      </c>
      <c r="B393">
        <f>IF(A393&lt;=$B$4,$B$3+A393-1,"")</f>
        <v/>
      </c>
      <c r="C393">
        <f>IF(B393="","",INDEX(D_LOT,B393)&amp;"")</f>
        <v/>
      </c>
      <c r="D393">
        <f>IF(B393="","",INDEX(D_SEQ,B393))</f>
        <v/>
      </c>
      <c r="E393">
        <f>IF(B393="","",IFERROR(VALUE(INDEX(D_VAL,B393)&amp;""),""))</f>
        <v/>
      </c>
      <c r="F393">
        <f>IF(B393="","",F392+(C393&lt;&gt;C392))</f>
        <v/>
      </c>
      <c r="G393">
        <f>IF(B393="","",F393&amp;"|"&amp;D393)</f>
        <v/>
      </c>
    </row>
    <row r="394">
      <c r="A394" t="n">
        <v>383</v>
      </c>
      <c r="B394">
        <f>IF(A394&lt;=$B$4,$B$3+A394-1,"")</f>
        <v/>
      </c>
      <c r="C394">
        <f>IF(B394="","",INDEX(D_LOT,B394)&amp;"")</f>
        <v/>
      </c>
      <c r="D394">
        <f>IF(B394="","",INDEX(D_SEQ,B394))</f>
        <v/>
      </c>
      <c r="E394">
        <f>IF(B394="","",IFERROR(VALUE(INDEX(D_VAL,B394)&amp;""),""))</f>
        <v/>
      </c>
      <c r="F394">
        <f>IF(B394="","",F393+(C394&lt;&gt;C393))</f>
        <v/>
      </c>
      <c r="G394">
        <f>IF(B394="","",F394&amp;"|"&amp;D394)</f>
        <v/>
      </c>
    </row>
    <row r="395">
      <c r="A395" t="n">
        <v>384</v>
      </c>
      <c r="B395">
        <f>IF(A395&lt;=$B$4,$B$3+A395-1,"")</f>
        <v/>
      </c>
      <c r="C395">
        <f>IF(B395="","",INDEX(D_LOT,B395)&amp;"")</f>
        <v/>
      </c>
      <c r="D395">
        <f>IF(B395="","",INDEX(D_SEQ,B395))</f>
        <v/>
      </c>
      <c r="E395">
        <f>IF(B395="","",IFERROR(VALUE(INDEX(D_VAL,B395)&amp;""),""))</f>
        <v/>
      </c>
      <c r="F395">
        <f>IF(B395="","",F394+(C395&lt;&gt;C394))</f>
        <v/>
      </c>
      <c r="G395">
        <f>IF(B395="","",F395&amp;"|"&amp;D395)</f>
        <v/>
      </c>
    </row>
    <row r="396">
      <c r="A396" t="n">
        <v>385</v>
      </c>
      <c r="B396">
        <f>IF(A396&lt;=$B$4,$B$3+A396-1,"")</f>
        <v/>
      </c>
      <c r="C396">
        <f>IF(B396="","",INDEX(D_LOT,B396)&amp;"")</f>
        <v/>
      </c>
      <c r="D396">
        <f>IF(B396="","",INDEX(D_SEQ,B396))</f>
        <v/>
      </c>
      <c r="E396">
        <f>IF(B396="","",IFERROR(VALUE(INDEX(D_VAL,B396)&amp;""),""))</f>
        <v/>
      </c>
      <c r="F396">
        <f>IF(B396="","",F395+(C396&lt;&gt;C395))</f>
        <v/>
      </c>
      <c r="G396">
        <f>IF(B396="","",F396&amp;"|"&amp;D396)</f>
        <v/>
      </c>
    </row>
    <row r="397">
      <c r="A397" t="n">
        <v>386</v>
      </c>
      <c r="B397">
        <f>IF(A397&lt;=$B$4,$B$3+A397-1,"")</f>
        <v/>
      </c>
      <c r="C397">
        <f>IF(B397="","",INDEX(D_LOT,B397)&amp;"")</f>
        <v/>
      </c>
      <c r="D397">
        <f>IF(B397="","",INDEX(D_SEQ,B397))</f>
        <v/>
      </c>
      <c r="E397">
        <f>IF(B397="","",IFERROR(VALUE(INDEX(D_VAL,B397)&amp;""),""))</f>
        <v/>
      </c>
      <c r="F397">
        <f>IF(B397="","",F396+(C397&lt;&gt;C396))</f>
        <v/>
      </c>
      <c r="G397">
        <f>IF(B397="","",F397&amp;"|"&amp;D397)</f>
        <v/>
      </c>
    </row>
    <row r="398">
      <c r="A398" t="n">
        <v>387</v>
      </c>
      <c r="B398">
        <f>IF(A398&lt;=$B$4,$B$3+A398-1,"")</f>
        <v/>
      </c>
      <c r="C398">
        <f>IF(B398="","",INDEX(D_LOT,B398)&amp;"")</f>
        <v/>
      </c>
      <c r="D398">
        <f>IF(B398="","",INDEX(D_SEQ,B398))</f>
        <v/>
      </c>
      <c r="E398">
        <f>IF(B398="","",IFERROR(VALUE(INDEX(D_VAL,B398)&amp;""),""))</f>
        <v/>
      </c>
      <c r="F398">
        <f>IF(B398="","",F397+(C398&lt;&gt;C397))</f>
        <v/>
      </c>
      <c r="G398">
        <f>IF(B398="","",F398&amp;"|"&amp;D398)</f>
        <v/>
      </c>
    </row>
    <row r="399">
      <c r="A399" t="n">
        <v>388</v>
      </c>
      <c r="B399">
        <f>IF(A399&lt;=$B$4,$B$3+A399-1,"")</f>
        <v/>
      </c>
      <c r="C399">
        <f>IF(B399="","",INDEX(D_LOT,B399)&amp;"")</f>
        <v/>
      </c>
      <c r="D399">
        <f>IF(B399="","",INDEX(D_SEQ,B399))</f>
        <v/>
      </c>
      <c r="E399">
        <f>IF(B399="","",IFERROR(VALUE(INDEX(D_VAL,B399)&amp;""),""))</f>
        <v/>
      </c>
      <c r="F399">
        <f>IF(B399="","",F398+(C399&lt;&gt;C398))</f>
        <v/>
      </c>
      <c r="G399">
        <f>IF(B399="","",F399&amp;"|"&amp;D399)</f>
        <v/>
      </c>
    </row>
    <row r="400">
      <c r="A400" t="n">
        <v>389</v>
      </c>
      <c r="B400">
        <f>IF(A400&lt;=$B$4,$B$3+A400-1,"")</f>
        <v/>
      </c>
      <c r="C400">
        <f>IF(B400="","",INDEX(D_LOT,B400)&amp;"")</f>
        <v/>
      </c>
      <c r="D400">
        <f>IF(B400="","",INDEX(D_SEQ,B400))</f>
        <v/>
      </c>
      <c r="E400">
        <f>IF(B400="","",IFERROR(VALUE(INDEX(D_VAL,B400)&amp;""),""))</f>
        <v/>
      </c>
      <c r="F400">
        <f>IF(B400="","",F399+(C400&lt;&gt;C399))</f>
        <v/>
      </c>
      <c r="G400">
        <f>IF(B400="","",F400&amp;"|"&amp;D400)</f>
        <v/>
      </c>
    </row>
    <row r="401">
      <c r="A401" t="n">
        <v>390</v>
      </c>
      <c r="B401">
        <f>IF(A401&lt;=$B$4,$B$3+A401-1,"")</f>
        <v/>
      </c>
      <c r="C401">
        <f>IF(B401="","",INDEX(D_LOT,B401)&amp;"")</f>
        <v/>
      </c>
      <c r="D401">
        <f>IF(B401="","",INDEX(D_SEQ,B401))</f>
        <v/>
      </c>
      <c r="E401">
        <f>IF(B401="","",IFERROR(VALUE(INDEX(D_VAL,B401)&amp;""),""))</f>
        <v/>
      </c>
      <c r="F401">
        <f>IF(B401="","",F400+(C401&lt;&gt;C400))</f>
        <v/>
      </c>
      <c r="G401">
        <f>IF(B401="","",F401&amp;"|"&amp;D401)</f>
        <v/>
      </c>
    </row>
    <row r="402">
      <c r="A402" t="n">
        <v>391</v>
      </c>
      <c r="B402">
        <f>IF(A402&lt;=$B$4,$B$3+A402-1,"")</f>
        <v/>
      </c>
      <c r="C402">
        <f>IF(B402="","",INDEX(D_LOT,B402)&amp;"")</f>
        <v/>
      </c>
      <c r="D402">
        <f>IF(B402="","",INDEX(D_SEQ,B402))</f>
        <v/>
      </c>
      <c r="E402">
        <f>IF(B402="","",IFERROR(VALUE(INDEX(D_VAL,B402)&amp;""),""))</f>
        <v/>
      </c>
      <c r="F402">
        <f>IF(B402="","",F401+(C402&lt;&gt;C401))</f>
        <v/>
      </c>
      <c r="G402">
        <f>IF(B402="","",F402&amp;"|"&amp;D402)</f>
        <v/>
      </c>
    </row>
    <row r="403">
      <c r="A403" t="n">
        <v>392</v>
      </c>
      <c r="B403">
        <f>IF(A403&lt;=$B$4,$B$3+A403-1,"")</f>
        <v/>
      </c>
      <c r="C403">
        <f>IF(B403="","",INDEX(D_LOT,B403)&amp;"")</f>
        <v/>
      </c>
      <c r="D403">
        <f>IF(B403="","",INDEX(D_SEQ,B403))</f>
        <v/>
      </c>
      <c r="E403">
        <f>IF(B403="","",IFERROR(VALUE(INDEX(D_VAL,B403)&amp;""),""))</f>
        <v/>
      </c>
      <c r="F403">
        <f>IF(B403="","",F402+(C403&lt;&gt;C402))</f>
        <v/>
      </c>
      <c r="G403">
        <f>IF(B403="","",F403&amp;"|"&amp;D403)</f>
        <v/>
      </c>
    </row>
    <row r="404">
      <c r="A404" t="n">
        <v>393</v>
      </c>
      <c r="B404">
        <f>IF(A404&lt;=$B$4,$B$3+A404-1,"")</f>
        <v/>
      </c>
      <c r="C404">
        <f>IF(B404="","",INDEX(D_LOT,B404)&amp;"")</f>
        <v/>
      </c>
      <c r="D404">
        <f>IF(B404="","",INDEX(D_SEQ,B404))</f>
        <v/>
      </c>
      <c r="E404">
        <f>IF(B404="","",IFERROR(VALUE(INDEX(D_VAL,B404)&amp;""),""))</f>
        <v/>
      </c>
      <c r="F404">
        <f>IF(B404="","",F403+(C404&lt;&gt;C403))</f>
        <v/>
      </c>
      <c r="G404">
        <f>IF(B404="","",F404&amp;"|"&amp;D404)</f>
        <v/>
      </c>
    </row>
    <row r="405">
      <c r="A405" t="n">
        <v>394</v>
      </c>
      <c r="B405">
        <f>IF(A405&lt;=$B$4,$B$3+A405-1,"")</f>
        <v/>
      </c>
      <c r="C405">
        <f>IF(B405="","",INDEX(D_LOT,B405)&amp;"")</f>
        <v/>
      </c>
      <c r="D405">
        <f>IF(B405="","",INDEX(D_SEQ,B405))</f>
        <v/>
      </c>
      <c r="E405">
        <f>IF(B405="","",IFERROR(VALUE(INDEX(D_VAL,B405)&amp;""),""))</f>
        <v/>
      </c>
      <c r="F405">
        <f>IF(B405="","",F404+(C405&lt;&gt;C404))</f>
        <v/>
      </c>
      <c r="G405">
        <f>IF(B405="","",F405&amp;"|"&amp;D405)</f>
        <v/>
      </c>
    </row>
    <row r="406">
      <c r="A406" t="n">
        <v>395</v>
      </c>
      <c r="B406">
        <f>IF(A406&lt;=$B$4,$B$3+A406-1,"")</f>
        <v/>
      </c>
      <c r="C406">
        <f>IF(B406="","",INDEX(D_LOT,B406)&amp;"")</f>
        <v/>
      </c>
      <c r="D406">
        <f>IF(B406="","",INDEX(D_SEQ,B406))</f>
        <v/>
      </c>
      <c r="E406">
        <f>IF(B406="","",IFERROR(VALUE(INDEX(D_VAL,B406)&amp;""),""))</f>
        <v/>
      </c>
      <c r="F406">
        <f>IF(B406="","",F405+(C406&lt;&gt;C405))</f>
        <v/>
      </c>
      <c r="G406">
        <f>IF(B406="","",F406&amp;"|"&amp;D406)</f>
        <v/>
      </c>
    </row>
    <row r="407">
      <c r="A407" t="n">
        <v>396</v>
      </c>
      <c r="B407">
        <f>IF(A407&lt;=$B$4,$B$3+A407-1,"")</f>
        <v/>
      </c>
      <c r="C407">
        <f>IF(B407="","",INDEX(D_LOT,B407)&amp;"")</f>
        <v/>
      </c>
      <c r="D407">
        <f>IF(B407="","",INDEX(D_SEQ,B407))</f>
        <v/>
      </c>
      <c r="E407">
        <f>IF(B407="","",IFERROR(VALUE(INDEX(D_VAL,B407)&amp;""),""))</f>
        <v/>
      </c>
      <c r="F407">
        <f>IF(B407="","",F406+(C407&lt;&gt;C406))</f>
        <v/>
      </c>
      <c r="G407">
        <f>IF(B407="","",F407&amp;"|"&amp;D407)</f>
        <v/>
      </c>
    </row>
    <row r="408">
      <c r="A408" t="n">
        <v>397</v>
      </c>
      <c r="B408">
        <f>IF(A408&lt;=$B$4,$B$3+A408-1,"")</f>
        <v/>
      </c>
      <c r="C408">
        <f>IF(B408="","",INDEX(D_LOT,B408)&amp;"")</f>
        <v/>
      </c>
      <c r="D408">
        <f>IF(B408="","",INDEX(D_SEQ,B408))</f>
        <v/>
      </c>
      <c r="E408">
        <f>IF(B408="","",IFERROR(VALUE(INDEX(D_VAL,B408)&amp;""),""))</f>
        <v/>
      </c>
      <c r="F408">
        <f>IF(B408="","",F407+(C408&lt;&gt;C407))</f>
        <v/>
      </c>
      <c r="G408">
        <f>IF(B408="","",F408&amp;"|"&amp;D408)</f>
        <v/>
      </c>
    </row>
    <row r="409">
      <c r="A409" t="n">
        <v>398</v>
      </c>
      <c r="B409">
        <f>IF(A409&lt;=$B$4,$B$3+A409-1,"")</f>
        <v/>
      </c>
      <c r="C409">
        <f>IF(B409="","",INDEX(D_LOT,B409)&amp;"")</f>
        <v/>
      </c>
      <c r="D409">
        <f>IF(B409="","",INDEX(D_SEQ,B409))</f>
        <v/>
      </c>
      <c r="E409">
        <f>IF(B409="","",IFERROR(VALUE(INDEX(D_VAL,B409)&amp;""),""))</f>
        <v/>
      </c>
      <c r="F409">
        <f>IF(B409="","",F408+(C409&lt;&gt;C408))</f>
        <v/>
      </c>
      <c r="G409">
        <f>IF(B409="","",F409&amp;"|"&amp;D409)</f>
        <v/>
      </c>
    </row>
    <row r="410">
      <c r="A410" t="n">
        <v>399</v>
      </c>
      <c r="B410">
        <f>IF(A410&lt;=$B$4,$B$3+A410-1,"")</f>
        <v/>
      </c>
      <c r="C410">
        <f>IF(B410="","",INDEX(D_LOT,B410)&amp;"")</f>
        <v/>
      </c>
      <c r="D410">
        <f>IF(B410="","",INDEX(D_SEQ,B410))</f>
        <v/>
      </c>
      <c r="E410">
        <f>IF(B410="","",IFERROR(VALUE(INDEX(D_VAL,B410)&amp;""),""))</f>
        <v/>
      </c>
      <c r="F410">
        <f>IF(B410="","",F409+(C410&lt;&gt;C409))</f>
        <v/>
      </c>
      <c r="G410">
        <f>IF(B410="","",F410&amp;"|"&amp;D410)</f>
        <v/>
      </c>
    </row>
    <row r="411">
      <c r="A411" t="n">
        <v>400</v>
      </c>
      <c r="B411">
        <f>IF(A411&lt;=$B$4,$B$3+A411-1,"")</f>
        <v/>
      </c>
      <c r="C411">
        <f>IF(B411="","",INDEX(D_LOT,B411)&amp;"")</f>
        <v/>
      </c>
      <c r="D411">
        <f>IF(B411="","",INDEX(D_SEQ,B411))</f>
        <v/>
      </c>
      <c r="E411">
        <f>IF(B411="","",IFERROR(VALUE(INDEX(D_VAL,B411)&amp;""),""))</f>
        <v/>
      </c>
      <c r="F411">
        <f>IF(B411="","",F410+(C411&lt;&gt;C410))</f>
        <v/>
      </c>
      <c r="G411">
        <f>IF(B411="","",F411&amp;"|"&amp;D411)</f>
        <v/>
      </c>
    </row>
    <row r="412">
      <c r="A412" t="n">
        <v>401</v>
      </c>
      <c r="B412">
        <f>IF(A412&lt;=$B$4,$B$3+A412-1,"")</f>
        <v/>
      </c>
      <c r="C412">
        <f>IF(B412="","",INDEX(D_LOT,B412)&amp;"")</f>
        <v/>
      </c>
      <c r="D412">
        <f>IF(B412="","",INDEX(D_SEQ,B412))</f>
        <v/>
      </c>
      <c r="E412">
        <f>IF(B412="","",IFERROR(VALUE(INDEX(D_VAL,B412)&amp;""),""))</f>
        <v/>
      </c>
      <c r="F412">
        <f>IF(B412="","",F411+(C412&lt;&gt;C411))</f>
        <v/>
      </c>
      <c r="G412">
        <f>IF(B412="","",F412&amp;"|"&amp;D412)</f>
        <v/>
      </c>
    </row>
    <row r="413">
      <c r="A413" t="n">
        <v>402</v>
      </c>
      <c r="B413">
        <f>IF(A413&lt;=$B$4,$B$3+A413-1,"")</f>
        <v/>
      </c>
      <c r="C413">
        <f>IF(B413="","",INDEX(D_LOT,B413)&amp;"")</f>
        <v/>
      </c>
      <c r="D413">
        <f>IF(B413="","",INDEX(D_SEQ,B413))</f>
        <v/>
      </c>
      <c r="E413">
        <f>IF(B413="","",IFERROR(VALUE(INDEX(D_VAL,B413)&amp;""),""))</f>
        <v/>
      </c>
      <c r="F413">
        <f>IF(B413="","",F412+(C413&lt;&gt;C412))</f>
        <v/>
      </c>
      <c r="G413">
        <f>IF(B413="","",F413&amp;"|"&amp;D413)</f>
        <v/>
      </c>
    </row>
    <row r="414">
      <c r="A414" t="n">
        <v>403</v>
      </c>
      <c r="B414">
        <f>IF(A414&lt;=$B$4,$B$3+A414-1,"")</f>
        <v/>
      </c>
      <c r="C414">
        <f>IF(B414="","",INDEX(D_LOT,B414)&amp;"")</f>
        <v/>
      </c>
      <c r="D414">
        <f>IF(B414="","",INDEX(D_SEQ,B414))</f>
        <v/>
      </c>
      <c r="E414">
        <f>IF(B414="","",IFERROR(VALUE(INDEX(D_VAL,B414)&amp;""),""))</f>
        <v/>
      </c>
      <c r="F414">
        <f>IF(B414="","",F413+(C414&lt;&gt;C413))</f>
        <v/>
      </c>
      <c r="G414">
        <f>IF(B414="","",F414&amp;"|"&amp;D414)</f>
        <v/>
      </c>
    </row>
    <row r="415">
      <c r="A415" t="n">
        <v>404</v>
      </c>
      <c r="B415">
        <f>IF(A415&lt;=$B$4,$B$3+A415-1,"")</f>
        <v/>
      </c>
      <c r="C415">
        <f>IF(B415="","",INDEX(D_LOT,B415)&amp;"")</f>
        <v/>
      </c>
      <c r="D415">
        <f>IF(B415="","",INDEX(D_SEQ,B415))</f>
        <v/>
      </c>
      <c r="E415">
        <f>IF(B415="","",IFERROR(VALUE(INDEX(D_VAL,B415)&amp;""),""))</f>
        <v/>
      </c>
      <c r="F415">
        <f>IF(B415="","",F414+(C415&lt;&gt;C414))</f>
        <v/>
      </c>
      <c r="G415">
        <f>IF(B415="","",F415&amp;"|"&amp;D415)</f>
        <v/>
      </c>
    </row>
    <row r="416">
      <c r="A416" t="n">
        <v>405</v>
      </c>
      <c r="B416">
        <f>IF(A416&lt;=$B$4,$B$3+A416-1,"")</f>
        <v/>
      </c>
      <c r="C416">
        <f>IF(B416="","",INDEX(D_LOT,B416)&amp;"")</f>
        <v/>
      </c>
      <c r="D416">
        <f>IF(B416="","",INDEX(D_SEQ,B416))</f>
        <v/>
      </c>
      <c r="E416">
        <f>IF(B416="","",IFERROR(VALUE(INDEX(D_VAL,B416)&amp;""),""))</f>
        <v/>
      </c>
      <c r="F416">
        <f>IF(B416="","",F415+(C416&lt;&gt;C415))</f>
        <v/>
      </c>
      <c r="G416">
        <f>IF(B416="","",F416&amp;"|"&amp;D416)</f>
        <v/>
      </c>
    </row>
    <row r="417">
      <c r="A417" t="n">
        <v>406</v>
      </c>
      <c r="B417">
        <f>IF(A417&lt;=$B$4,$B$3+A417-1,"")</f>
        <v/>
      </c>
      <c r="C417">
        <f>IF(B417="","",INDEX(D_LOT,B417)&amp;"")</f>
        <v/>
      </c>
      <c r="D417">
        <f>IF(B417="","",INDEX(D_SEQ,B417))</f>
        <v/>
      </c>
      <c r="E417">
        <f>IF(B417="","",IFERROR(VALUE(INDEX(D_VAL,B417)&amp;""),""))</f>
        <v/>
      </c>
      <c r="F417">
        <f>IF(B417="","",F416+(C417&lt;&gt;C416))</f>
        <v/>
      </c>
      <c r="G417">
        <f>IF(B417="","",F417&amp;"|"&amp;D417)</f>
        <v/>
      </c>
    </row>
    <row r="418">
      <c r="A418" t="n">
        <v>407</v>
      </c>
      <c r="B418">
        <f>IF(A418&lt;=$B$4,$B$3+A418-1,"")</f>
        <v/>
      </c>
      <c r="C418">
        <f>IF(B418="","",INDEX(D_LOT,B418)&amp;"")</f>
        <v/>
      </c>
      <c r="D418">
        <f>IF(B418="","",INDEX(D_SEQ,B418))</f>
        <v/>
      </c>
      <c r="E418">
        <f>IF(B418="","",IFERROR(VALUE(INDEX(D_VAL,B418)&amp;""),""))</f>
        <v/>
      </c>
      <c r="F418">
        <f>IF(B418="","",F417+(C418&lt;&gt;C417))</f>
        <v/>
      </c>
      <c r="G418">
        <f>IF(B418="","",F418&amp;"|"&amp;D418)</f>
        <v/>
      </c>
    </row>
    <row r="419">
      <c r="A419" t="n">
        <v>408</v>
      </c>
      <c r="B419">
        <f>IF(A419&lt;=$B$4,$B$3+A419-1,"")</f>
        <v/>
      </c>
      <c r="C419">
        <f>IF(B419="","",INDEX(D_LOT,B419)&amp;"")</f>
        <v/>
      </c>
      <c r="D419">
        <f>IF(B419="","",INDEX(D_SEQ,B419))</f>
        <v/>
      </c>
      <c r="E419">
        <f>IF(B419="","",IFERROR(VALUE(INDEX(D_VAL,B419)&amp;""),""))</f>
        <v/>
      </c>
      <c r="F419">
        <f>IF(B419="","",F418+(C419&lt;&gt;C418))</f>
        <v/>
      </c>
      <c r="G419">
        <f>IF(B419="","",F419&amp;"|"&amp;D419)</f>
        <v/>
      </c>
    </row>
    <row r="420">
      <c r="A420" t="n">
        <v>409</v>
      </c>
      <c r="B420">
        <f>IF(A420&lt;=$B$4,$B$3+A420-1,"")</f>
        <v/>
      </c>
      <c r="C420">
        <f>IF(B420="","",INDEX(D_LOT,B420)&amp;"")</f>
        <v/>
      </c>
      <c r="D420">
        <f>IF(B420="","",INDEX(D_SEQ,B420))</f>
        <v/>
      </c>
      <c r="E420">
        <f>IF(B420="","",IFERROR(VALUE(INDEX(D_VAL,B420)&amp;""),""))</f>
        <v/>
      </c>
      <c r="F420">
        <f>IF(B420="","",F419+(C420&lt;&gt;C419))</f>
        <v/>
      </c>
      <c r="G420">
        <f>IF(B420="","",F420&amp;"|"&amp;D420)</f>
        <v/>
      </c>
    </row>
    <row r="421">
      <c r="A421" t="n">
        <v>410</v>
      </c>
      <c r="B421">
        <f>IF(A421&lt;=$B$4,$B$3+A421-1,"")</f>
        <v/>
      </c>
      <c r="C421">
        <f>IF(B421="","",INDEX(D_LOT,B421)&amp;"")</f>
        <v/>
      </c>
      <c r="D421">
        <f>IF(B421="","",INDEX(D_SEQ,B421))</f>
        <v/>
      </c>
      <c r="E421">
        <f>IF(B421="","",IFERROR(VALUE(INDEX(D_VAL,B421)&amp;""),""))</f>
        <v/>
      </c>
      <c r="F421">
        <f>IF(B421="","",F420+(C421&lt;&gt;C420))</f>
        <v/>
      </c>
      <c r="G421">
        <f>IF(B421="","",F421&amp;"|"&amp;D421)</f>
        <v/>
      </c>
    </row>
    <row r="422">
      <c r="A422" t="n">
        <v>411</v>
      </c>
      <c r="B422">
        <f>IF(A422&lt;=$B$4,$B$3+A422-1,"")</f>
        <v/>
      </c>
      <c r="C422">
        <f>IF(B422="","",INDEX(D_LOT,B422)&amp;"")</f>
        <v/>
      </c>
      <c r="D422">
        <f>IF(B422="","",INDEX(D_SEQ,B422))</f>
        <v/>
      </c>
      <c r="E422">
        <f>IF(B422="","",IFERROR(VALUE(INDEX(D_VAL,B422)&amp;""),""))</f>
        <v/>
      </c>
      <c r="F422">
        <f>IF(B422="","",F421+(C422&lt;&gt;C421))</f>
        <v/>
      </c>
      <c r="G422">
        <f>IF(B422="","",F422&amp;"|"&amp;D422)</f>
        <v/>
      </c>
    </row>
    <row r="423">
      <c r="A423" t="n">
        <v>412</v>
      </c>
      <c r="B423">
        <f>IF(A423&lt;=$B$4,$B$3+A423-1,"")</f>
        <v/>
      </c>
      <c r="C423">
        <f>IF(B423="","",INDEX(D_LOT,B423)&amp;"")</f>
        <v/>
      </c>
      <c r="D423">
        <f>IF(B423="","",INDEX(D_SEQ,B423))</f>
        <v/>
      </c>
      <c r="E423">
        <f>IF(B423="","",IFERROR(VALUE(INDEX(D_VAL,B423)&amp;""),""))</f>
        <v/>
      </c>
      <c r="F423">
        <f>IF(B423="","",F422+(C423&lt;&gt;C422))</f>
        <v/>
      </c>
      <c r="G423">
        <f>IF(B423="","",F423&amp;"|"&amp;D423)</f>
        <v/>
      </c>
    </row>
    <row r="424">
      <c r="A424" t="n">
        <v>413</v>
      </c>
      <c r="B424">
        <f>IF(A424&lt;=$B$4,$B$3+A424-1,"")</f>
        <v/>
      </c>
      <c r="C424">
        <f>IF(B424="","",INDEX(D_LOT,B424)&amp;"")</f>
        <v/>
      </c>
      <c r="D424">
        <f>IF(B424="","",INDEX(D_SEQ,B424))</f>
        <v/>
      </c>
      <c r="E424">
        <f>IF(B424="","",IFERROR(VALUE(INDEX(D_VAL,B424)&amp;""),""))</f>
        <v/>
      </c>
      <c r="F424">
        <f>IF(B424="","",F423+(C424&lt;&gt;C423))</f>
        <v/>
      </c>
      <c r="G424">
        <f>IF(B424="","",F424&amp;"|"&amp;D424)</f>
        <v/>
      </c>
    </row>
    <row r="425">
      <c r="A425" t="n">
        <v>414</v>
      </c>
      <c r="B425">
        <f>IF(A425&lt;=$B$4,$B$3+A425-1,"")</f>
        <v/>
      </c>
      <c r="C425">
        <f>IF(B425="","",INDEX(D_LOT,B425)&amp;"")</f>
        <v/>
      </c>
      <c r="D425">
        <f>IF(B425="","",INDEX(D_SEQ,B425))</f>
        <v/>
      </c>
      <c r="E425">
        <f>IF(B425="","",IFERROR(VALUE(INDEX(D_VAL,B425)&amp;""),""))</f>
        <v/>
      </c>
      <c r="F425">
        <f>IF(B425="","",F424+(C425&lt;&gt;C424))</f>
        <v/>
      </c>
      <c r="G425">
        <f>IF(B425="","",F425&amp;"|"&amp;D425)</f>
        <v/>
      </c>
    </row>
    <row r="426">
      <c r="A426" t="n">
        <v>415</v>
      </c>
      <c r="B426">
        <f>IF(A426&lt;=$B$4,$B$3+A426-1,"")</f>
        <v/>
      </c>
      <c r="C426">
        <f>IF(B426="","",INDEX(D_LOT,B426)&amp;"")</f>
        <v/>
      </c>
      <c r="D426">
        <f>IF(B426="","",INDEX(D_SEQ,B426))</f>
        <v/>
      </c>
      <c r="E426">
        <f>IF(B426="","",IFERROR(VALUE(INDEX(D_VAL,B426)&amp;""),""))</f>
        <v/>
      </c>
      <c r="F426">
        <f>IF(B426="","",F425+(C426&lt;&gt;C425))</f>
        <v/>
      </c>
      <c r="G426">
        <f>IF(B426="","",F426&amp;"|"&amp;D426)</f>
        <v/>
      </c>
    </row>
    <row r="427">
      <c r="A427" t="n">
        <v>416</v>
      </c>
      <c r="B427">
        <f>IF(A427&lt;=$B$4,$B$3+A427-1,"")</f>
        <v/>
      </c>
      <c r="C427">
        <f>IF(B427="","",INDEX(D_LOT,B427)&amp;"")</f>
        <v/>
      </c>
      <c r="D427">
        <f>IF(B427="","",INDEX(D_SEQ,B427))</f>
        <v/>
      </c>
      <c r="E427">
        <f>IF(B427="","",IFERROR(VALUE(INDEX(D_VAL,B427)&amp;""),""))</f>
        <v/>
      </c>
      <c r="F427">
        <f>IF(B427="","",F426+(C427&lt;&gt;C426))</f>
        <v/>
      </c>
      <c r="G427">
        <f>IF(B427="","",F427&amp;"|"&amp;D427)</f>
        <v/>
      </c>
    </row>
    <row r="428">
      <c r="A428" t="n">
        <v>417</v>
      </c>
      <c r="B428">
        <f>IF(A428&lt;=$B$4,$B$3+A428-1,"")</f>
        <v/>
      </c>
      <c r="C428">
        <f>IF(B428="","",INDEX(D_LOT,B428)&amp;"")</f>
        <v/>
      </c>
      <c r="D428">
        <f>IF(B428="","",INDEX(D_SEQ,B428))</f>
        <v/>
      </c>
      <c r="E428">
        <f>IF(B428="","",IFERROR(VALUE(INDEX(D_VAL,B428)&amp;""),""))</f>
        <v/>
      </c>
      <c r="F428">
        <f>IF(B428="","",F427+(C428&lt;&gt;C427))</f>
        <v/>
      </c>
      <c r="G428">
        <f>IF(B428="","",F428&amp;"|"&amp;D428)</f>
        <v/>
      </c>
    </row>
    <row r="429">
      <c r="A429" t="n">
        <v>418</v>
      </c>
      <c r="B429">
        <f>IF(A429&lt;=$B$4,$B$3+A429-1,"")</f>
        <v/>
      </c>
      <c r="C429">
        <f>IF(B429="","",INDEX(D_LOT,B429)&amp;"")</f>
        <v/>
      </c>
      <c r="D429">
        <f>IF(B429="","",INDEX(D_SEQ,B429))</f>
        <v/>
      </c>
      <c r="E429">
        <f>IF(B429="","",IFERROR(VALUE(INDEX(D_VAL,B429)&amp;""),""))</f>
        <v/>
      </c>
      <c r="F429">
        <f>IF(B429="","",F428+(C429&lt;&gt;C428))</f>
        <v/>
      </c>
      <c r="G429">
        <f>IF(B429="","",F429&amp;"|"&amp;D429)</f>
        <v/>
      </c>
    </row>
    <row r="430">
      <c r="A430" t="n">
        <v>419</v>
      </c>
      <c r="B430">
        <f>IF(A430&lt;=$B$4,$B$3+A430-1,"")</f>
        <v/>
      </c>
      <c r="C430">
        <f>IF(B430="","",INDEX(D_LOT,B430)&amp;"")</f>
        <v/>
      </c>
      <c r="D430">
        <f>IF(B430="","",INDEX(D_SEQ,B430))</f>
        <v/>
      </c>
      <c r="E430">
        <f>IF(B430="","",IFERROR(VALUE(INDEX(D_VAL,B430)&amp;""),""))</f>
        <v/>
      </c>
      <c r="F430">
        <f>IF(B430="","",F429+(C430&lt;&gt;C429))</f>
        <v/>
      </c>
      <c r="G430">
        <f>IF(B430="","",F430&amp;"|"&amp;D430)</f>
        <v/>
      </c>
    </row>
    <row r="431">
      <c r="A431" t="n">
        <v>420</v>
      </c>
      <c r="B431">
        <f>IF(A431&lt;=$B$4,$B$3+A431-1,"")</f>
        <v/>
      </c>
      <c r="C431">
        <f>IF(B431="","",INDEX(D_LOT,B431)&amp;"")</f>
        <v/>
      </c>
      <c r="D431">
        <f>IF(B431="","",INDEX(D_SEQ,B431))</f>
        <v/>
      </c>
      <c r="E431">
        <f>IF(B431="","",IFERROR(VALUE(INDEX(D_VAL,B431)&amp;""),""))</f>
        <v/>
      </c>
      <c r="F431">
        <f>IF(B431="","",F430+(C431&lt;&gt;C430))</f>
        <v/>
      </c>
      <c r="G431">
        <f>IF(B431="","",F431&amp;"|"&amp;D431)</f>
        <v/>
      </c>
    </row>
    <row r="432">
      <c r="A432" t="n">
        <v>421</v>
      </c>
      <c r="B432">
        <f>IF(A432&lt;=$B$4,$B$3+A432-1,"")</f>
        <v/>
      </c>
      <c r="C432">
        <f>IF(B432="","",INDEX(D_LOT,B432)&amp;"")</f>
        <v/>
      </c>
      <c r="D432">
        <f>IF(B432="","",INDEX(D_SEQ,B432))</f>
        <v/>
      </c>
      <c r="E432">
        <f>IF(B432="","",IFERROR(VALUE(INDEX(D_VAL,B432)&amp;""),""))</f>
        <v/>
      </c>
      <c r="F432">
        <f>IF(B432="","",F431+(C432&lt;&gt;C431))</f>
        <v/>
      </c>
      <c r="G432">
        <f>IF(B432="","",F432&amp;"|"&amp;D432)</f>
        <v/>
      </c>
    </row>
    <row r="433">
      <c r="A433" t="n">
        <v>422</v>
      </c>
      <c r="B433">
        <f>IF(A433&lt;=$B$4,$B$3+A433-1,"")</f>
        <v/>
      </c>
      <c r="C433">
        <f>IF(B433="","",INDEX(D_LOT,B433)&amp;"")</f>
        <v/>
      </c>
      <c r="D433">
        <f>IF(B433="","",INDEX(D_SEQ,B433))</f>
        <v/>
      </c>
      <c r="E433">
        <f>IF(B433="","",IFERROR(VALUE(INDEX(D_VAL,B433)&amp;""),""))</f>
        <v/>
      </c>
      <c r="F433">
        <f>IF(B433="","",F432+(C433&lt;&gt;C432))</f>
        <v/>
      </c>
      <c r="G433">
        <f>IF(B433="","",F433&amp;"|"&amp;D433)</f>
        <v/>
      </c>
    </row>
    <row r="434">
      <c r="A434" t="n">
        <v>423</v>
      </c>
      <c r="B434">
        <f>IF(A434&lt;=$B$4,$B$3+A434-1,"")</f>
        <v/>
      </c>
      <c r="C434">
        <f>IF(B434="","",INDEX(D_LOT,B434)&amp;"")</f>
        <v/>
      </c>
      <c r="D434">
        <f>IF(B434="","",INDEX(D_SEQ,B434))</f>
        <v/>
      </c>
      <c r="E434">
        <f>IF(B434="","",IFERROR(VALUE(INDEX(D_VAL,B434)&amp;""),""))</f>
        <v/>
      </c>
      <c r="F434">
        <f>IF(B434="","",F433+(C434&lt;&gt;C433))</f>
        <v/>
      </c>
      <c r="G434">
        <f>IF(B434="","",F434&amp;"|"&amp;D434)</f>
        <v/>
      </c>
    </row>
    <row r="435">
      <c r="A435" t="n">
        <v>424</v>
      </c>
      <c r="B435">
        <f>IF(A435&lt;=$B$4,$B$3+A435-1,"")</f>
        <v/>
      </c>
      <c r="C435">
        <f>IF(B435="","",INDEX(D_LOT,B435)&amp;"")</f>
        <v/>
      </c>
      <c r="D435">
        <f>IF(B435="","",INDEX(D_SEQ,B435))</f>
        <v/>
      </c>
      <c r="E435">
        <f>IF(B435="","",IFERROR(VALUE(INDEX(D_VAL,B435)&amp;""),""))</f>
        <v/>
      </c>
      <c r="F435">
        <f>IF(B435="","",F434+(C435&lt;&gt;C434))</f>
        <v/>
      </c>
      <c r="G435">
        <f>IF(B435="","",F435&amp;"|"&amp;D435)</f>
        <v/>
      </c>
    </row>
    <row r="436">
      <c r="A436" t="n">
        <v>425</v>
      </c>
      <c r="B436">
        <f>IF(A436&lt;=$B$4,$B$3+A436-1,"")</f>
        <v/>
      </c>
      <c r="C436">
        <f>IF(B436="","",INDEX(D_LOT,B436)&amp;"")</f>
        <v/>
      </c>
      <c r="D436">
        <f>IF(B436="","",INDEX(D_SEQ,B436))</f>
        <v/>
      </c>
      <c r="E436">
        <f>IF(B436="","",IFERROR(VALUE(INDEX(D_VAL,B436)&amp;""),""))</f>
        <v/>
      </c>
      <c r="F436">
        <f>IF(B436="","",F435+(C436&lt;&gt;C435))</f>
        <v/>
      </c>
      <c r="G436">
        <f>IF(B436="","",F436&amp;"|"&amp;D436)</f>
        <v/>
      </c>
    </row>
    <row r="437">
      <c r="A437" t="n">
        <v>426</v>
      </c>
      <c r="B437">
        <f>IF(A437&lt;=$B$4,$B$3+A437-1,"")</f>
        <v/>
      </c>
      <c r="C437">
        <f>IF(B437="","",INDEX(D_LOT,B437)&amp;"")</f>
        <v/>
      </c>
      <c r="D437">
        <f>IF(B437="","",INDEX(D_SEQ,B437))</f>
        <v/>
      </c>
      <c r="E437">
        <f>IF(B437="","",IFERROR(VALUE(INDEX(D_VAL,B437)&amp;""),""))</f>
        <v/>
      </c>
      <c r="F437">
        <f>IF(B437="","",F436+(C437&lt;&gt;C436))</f>
        <v/>
      </c>
      <c r="G437">
        <f>IF(B437="","",F437&amp;"|"&amp;D437)</f>
        <v/>
      </c>
    </row>
    <row r="438">
      <c r="A438" t="n">
        <v>427</v>
      </c>
      <c r="B438">
        <f>IF(A438&lt;=$B$4,$B$3+A438-1,"")</f>
        <v/>
      </c>
      <c r="C438">
        <f>IF(B438="","",INDEX(D_LOT,B438)&amp;"")</f>
        <v/>
      </c>
      <c r="D438">
        <f>IF(B438="","",INDEX(D_SEQ,B438))</f>
        <v/>
      </c>
      <c r="E438">
        <f>IF(B438="","",IFERROR(VALUE(INDEX(D_VAL,B438)&amp;""),""))</f>
        <v/>
      </c>
      <c r="F438">
        <f>IF(B438="","",F437+(C438&lt;&gt;C437))</f>
        <v/>
      </c>
      <c r="G438">
        <f>IF(B438="","",F438&amp;"|"&amp;D438)</f>
        <v/>
      </c>
    </row>
    <row r="439">
      <c r="A439" t="n">
        <v>428</v>
      </c>
      <c r="B439">
        <f>IF(A439&lt;=$B$4,$B$3+A439-1,"")</f>
        <v/>
      </c>
      <c r="C439">
        <f>IF(B439="","",INDEX(D_LOT,B439)&amp;"")</f>
        <v/>
      </c>
      <c r="D439">
        <f>IF(B439="","",INDEX(D_SEQ,B439))</f>
        <v/>
      </c>
      <c r="E439">
        <f>IF(B439="","",IFERROR(VALUE(INDEX(D_VAL,B439)&amp;""),""))</f>
        <v/>
      </c>
      <c r="F439">
        <f>IF(B439="","",F438+(C439&lt;&gt;C438))</f>
        <v/>
      </c>
      <c r="G439">
        <f>IF(B439="","",F439&amp;"|"&amp;D439)</f>
        <v/>
      </c>
    </row>
    <row r="440">
      <c r="A440" t="n">
        <v>429</v>
      </c>
      <c r="B440">
        <f>IF(A440&lt;=$B$4,$B$3+A440-1,"")</f>
        <v/>
      </c>
      <c r="C440">
        <f>IF(B440="","",INDEX(D_LOT,B440)&amp;"")</f>
        <v/>
      </c>
      <c r="D440">
        <f>IF(B440="","",INDEX(D_SEQ,B440))</f>
        <v/>
      </c>
      <c r="E440">
        <f>IF(B440="","",IFERROR(VALUE(INDEX(D_VAL,B440)&amp;""),""))</f>
        <v/>
      </c>
      <c r="F440">
        <f>IF(B440="","",F439+(C440&lt;&gt;C439))</f>
        <v/>
      </c>
      <c r="G440">
        <f>IF(B440="","",F440&amp;"|"&amp;D440)</f>
        <v/>
      </c>
    </row>
    <row r="441">
      <c r="A441" t="n">
        <v>430</v>
      </c>
      <c r="B441">
        <f>IF(A441&lt;=$B$4,$B$3+A441-1,"")</f>
        <v/>
      </c>
      <c r="C441">
        <f>IF(B441="","",INDEX(D_LOT,B441)&amp;"")</f>
        <v/>
      </c>
      <c r="D441">
        <f>IF(B441="","",INDEX(D_SEQ,B441))</f>
        <v/>
      </c>
      <c r="E441">
        <f>IF(B441="","",IFERROR(VALUE(INDEX(D_VAL,B441)&amp;""),""))</f>
        <v/>
      </c>
      <c r="F441">
        <f>IF(B441="","",F440+(C441&lt;&gt;C440))</f>
        <v/>
      </c>
      <c r="G441">
        <f>IF(B441="","",F441&amp;"|"&amp;D441)</f>
        <v/>
      </c>
    </row>
    <row r="442">
      <c r="A442" t="n">
        <v>431</v>
      </c>
      <c r="B442">
        <f>IF(A442&lt;=$B$4,$B$3+A442-1,"")</f>
        <v/>
      </c>
      <c r="C442">
        <f>IF(B442="","",INDEX(D_LOT,B442)&amp;"")</f>
        <v/>
      </c>
      <c r="D442">
        <f>IF(B442="","",INDEX(D_SEQ,B442))</f>
        <v/>
      </c>
      <c r="E442">
        <f>IF(B442="","",IFERROR(VALUE(INDEX(D_VAL,B442)&amp;""),""))</f>
        <v/>
      </c>
      <c r="F442">
        <f>IF(B442="","",F441+(C442&lt;&gt;C441))</f>
        <v/>
      </c>
      <c r="G442">
        <f>IF(B442="","",F442&amp;"|"&amp;D442)</f>
        <v/>
      </c>
    </row>
    <row r="443">
      <c r="A443" t="n">
        <v>432</v>
      </c>
      <c r="B443">
        <f>IF(A443&lt;=$B$4,$B$3+A443-1,"")</f>
        <v/>
      </c>
      <c r="C443">
        <f>IF(B443="","",INDEX(D_LOT,B443)&amp;"")</f>
        <v/>
      </c>
      <c r="D443">
        <f>IF(B443="","",INDEX(D_SEQ,B443))</f>
        <v/>
      </c>
      <c r="E443">
        <f>IF(B443="","",IFERROR(VALUE(INDEX(D_VAL,B443)&amp;""),""))</f>
        <v/>
      </c>
      <c r="F443">
        <f>IF(B443="","",F442+(C443&lt;&gt;C442))</f>
        <v/>
      </c>
      <c r="G443">
        <f>IF(B443="","",F443&amp;"|"&amp;D443)</f>
        <v/>
      </c>
    </row>
    <row r="444">
      <c r="A444" t="n">
        <v>433</v>
      </c>
      <c r="B444">
        <f>IF(A444&lt;=$B$4,$B$3+A444-1,"")</f>
        <v/>
      </c>
      <c r="C444">
        <f>IF(B444="","",INDEX(D_LOT,B444)&amp;"")</f>
        <v/>
      </c>
      <c r="D444">
        <f>IF(B444="","",INDEX(D_SEQ,B444))</f>
        <v/>
      </c>
      <c r="E444">
        <f>IF(B444="","",IFERROR(VALUE(INDEX(D_VAL,B444)&amp;""),""))</f>
        <v/>
      </c>
      <c r="F444">
        <f>IF(B444="","",F443+(C444&lt;&gt;C443))</f>
        <v/>
      </c>
      <c r="G444">
        <f>IF(B444="","",F444&amp;"|"&amp;D444)</f>
        <v/>
      </c>
    </row>
    <row r="445">
      <c r="A445" t="n">
        <v>434</v>
      </c>
      <c r="B445">
        <f>IF(A445&lt;=$B$4,$B$3+A445-1,"")</f>
        <v/>
      </c>
      <c r="C445">
        <f>IF(B445="","",INDEX(D_LOT,B445)&amp;"")</f>
        <v/>
      </c>
      <c r="D445">
        <f>IF(B445="","",INDEX(D_SEQ,B445))</f>
        <v/>
      </c>
      <c r="E445">
        <f>IF(B445="","",IFERROR(VALUE(INDEX(D_VAL,B445)&amp;""),""))</f>
        <v/>
      </c>
      <c r="F445">
        <f>IF(B445="","",F444+(C445&lt;&gt;C444))</f>
        <v/>
      </c>
      <c r="G445">
        <f>IF(B445="","",F445&amp;"|"&amp;D445)</f>
        <v/>
      </c>
    </row>
    <row r="446">
      <c r="A446" t="n">
        <v>435</v>
      </c>
      <c r="B446">
        <f>IF(A446&lt;=$B$4,$B$3+A446-1,"")</f>
        <v/>
      </c>
      <c r="C446">
        <f>IF(B446="","",INDEX(D_LOT,B446)&amp;"")</f>
        <v/>
      </c>
      <c r="D446">
        <f>IF(B446="","",INDEX(D_SEQ,B446))</f>
        <v/>
      </c>
      <c r="E446">
        <f>IF(B446="","",IFERROR(VALUE(INDEX(D_VAL,B446)&amp;""),""))</f>
        <v/>
      </c>
      <c r="F446">
        <f>IF(B446="","",F445+(C446&lt;&gt;C445))</f>
        <v/>
      </c>
      <c r="G446">
        <f>IF(B446="","",F446&amp;"|"&amp;D446)</f>
        <v/>
      </c>
    </row>
    <row r="447">
      <c r="A447" t="n">
        <v>436</v>
      </c>
      <c r="B447">
        <f>IF(A447&lt;=$B$4,$B$3+A447-1,"")</f>
        <v/>
      </c>
      <c r="C447">
        <f>IF(B447="","",INDEX(D_LOT,B447)&amp;"")</f>
        <v/>
      </c>
      <c r="D447">
        <f>IF(B447="","",INDEX(D_SEQ,B447))</f>
        <v/>
      </c>
      <c r="E447">
        <f>IF(B447="","",IFERROR(VALUE(INDEX(D_VAL,B447)&amp;""),""))</f>
        <v/>
      </c>
      <c r="F447">
        <f>IF(B447="","",F446+(C447&lt;&gt;C446))</f>
        <v/>
      </c>
      <c r="G447">
        <f>IF(B447="","",F447&amp;"|"&amp;D447)</f>
        <v/>
      </c>
    </row>
    <row r="448">
      <c r="A448" t="n">
        <v>437</v>
      </c>
      <c r="B448">
        <f>IF(A448&lt;=$B$4,$B$3+A448-1,"")</f>
        <v/>
      </c>
      <c r="C448">
        <f>IF(B448="","",INDEX(D_LOT,B448)&amp;"")</f>
        <v/>
      </c>
      <c r="D448">
        <f>IF(B448="","",INDEX(D_SEQ,B448))</f>
        <v/>
      </c>
      <c r="E448">
        <f>IF(B448="","",IFERROR(VALUE(INDEX(D_VAL,B448)&amp;""),""))</f>
        <v/>
      </c>
      <c r="F448">
        <f>IF(B448="","",F447+(C448&lt;&gt;C447))</f>
        <v/>
      </c>
      <c r="G448">
        <f>IF(B448="","",F448&amp;"|"&amp;D448)</f>
        <v/>
      </c>
    </row>
    <row r="449">
      <c r="A449" t="n">
        <v>438</v>
      </c>
      <c r="B449">
        <f>IF(A449&lt;=$B$4,$B$3+A449-1,"")</f>
        <v/>
      </c>
      <c r="C449">
        <f>IF(B449="","",INDEX(D_LOT,B449)&amp;"")</f>
        <v/>
      </c>
      <c r="D449">
        <f>IF(B449="","",INDEX(D_SEQ,B449))</f>
        <v/>
      </c>
      <c r="E449">
        <f>IF(B449="","",IFERROR(VALUE(INDEX(D_VAL,B449)&amp;""),""))</f>
        <v/>
      </c>
      <c r="F449">
        <f>IF(B449="","",F448+(C449&lt;&gt;C448))</f>
        <v/>
      </c>
      <c r="G449">
        <f>IF(B449="","",F449&amp;"|"&amp;D449)</f>
        <v/>
      </c>
    </row>
    <row r="450">
      <c r="A450" t="n">
        <v>439</v>
      </c>
      <c r="B450">
        <f>IF(A450&lt;=$B$4,$B$3+A450-1,"")</f>
        <v/>
      </c>
      <c r="C450">
        <f>IF(B450="","",INDEX(D_LOT,B450)&amp;"")</f>
        <v/>
      </c>
      <c r="D450">
        <f>IF(B450="","",INDEX(D_SEQ,B450))</f>
        <v/>
      </c>
      <c r="E450">
        <f>IF(B450="","",IFERROR(VALUE(INDEX(D_VAL,B450)&amp;""),""))</f>
        <v/>
      </c>
      <c r="F450">
        <f>IF(B450="","",F449+(C450&lt;&gt;C449))</f>
        <v/>
      </c>
      <c r="G450">
        <f>IF(B450="","",F450&amp;"|"&amp;D450)</f>
        <v/>
      </c>
    </row>
    <row r="451">
      <c r="A451" t="n">
        <v>440</v>
      </c>
      <c r="B451">
        <f>IF(A451&lt;=$B$4,$B$3+A451-1,"")</f>
        <v/>
      </c>
      <c r="C451">
        <f>IF(B451="","",INDEX(D_LOT,B451)&amp;"")</f>
        <v/>
      </c>
      <c r="D451">
        <f>IF(B451="","",INDEX(D_SEQ,B451))</f>
        <v/>
      </c>
      <c r="E451">
        <f>IF(B451="","",IFERROR(VALUE(INDEX(D_VAL,B451)&amp;""),""))</f>
        <v/>
      </c>
      <c r="F451">
        <f>IF(B451="","",F450+(C451&lt;&gt;C450))</f>
        <v/>
      </c>
      <c r="G451">
        <f>IF(B451="","",F451&amp;"|"&amp;D451)</f>
        <v/>
      </c>
    </row>
    <row r="452">
      <c r="A452" t="n">
        <v>441</v>
      </c>
      <c r="B452">
        <f>IF(A452&lt;=$B$4,$B$3+A452-1,"")</f>
        <v/>
      </c>
      <c r="C452">
        <f>IF(B452="","",INDEX(D_LOT,B452)&amp;"")</f>
        <v/>
      </c>
      <c r="D452">
        <f>IF(B452="","",INDEX(D_SEQ,B452))</f>
        <v/>
      </c>
      <c r="E452">
        <f>IF(B452="","",IFERROR(VALUE(INDEX(D_VAL,B452)&amp;""),""))</f>
        <v/>
      </c>
      <c r="F452">
        <f>IF(B452="","",F451+(C452&lt;&gt;C451))</f>
        <v/>
      </c>
      <c r="G452">
        <f>IF(B452="","",F452&amp;"|"&amp;D452)</f>
        <v/>
      </c>
    </row>
    <row r="453">
      <c r="A453" t="n">
        <v>442</v>
      </c>
      <c r="B453">
        <f>IF(A453&lt;=$B$4,$B$3+A453-1,"")</f>
        <v/>
      </c>
      <c r="C453">
        <f>IF(B453="","",INDEX(D_LOT,B453)&amp;"")</f>
        <v/>
      </c>
      <c r="D453">
        <f>IF(B453="","",INDEX(D_SEQ,B453))</f>
        <v/>
      </c>
      <c r="E453">
        <f>IF(B453="","",IFERROR(VALUE(INDEX(D_VAL,B453)&amp;""),""))</f>
        <v/>
      </c>
      <c r="F453">
        <f>IF(B453="","",F452+(C453&lt;&gt;C452))</f>
        <v/>
      </c>
      <c r="G453">
        <f>IF(B453="","",F453&amp;"|"&amp;D453)</f>
        <v/>
      </c>
    </row>
    <row r="454">
      <c r="A454" t="n">
        <v>443</v>
      </c>
      <c r="B454">
        <f>IF(A454&lt;=$B$4,$B$3+A454-1,"")</f>
        <v/>
      </c>
      <c r="C454">
        <f>IF(B454="","",INDEX(D_LOT,B454)&amp;"")</f>
        <v/>
      </c>
      <c r="D454">
        <f>IF(B454="","",INDEX(D_SEQ,B454))</f>
        <v/>
      </c>
      <c r="E454">
        <f>IF(B454="","",IFERROR(VALUE(INDEX(D_VAL,B454)&amp;""),""))</f>
        <v/>
      </c>
      <c r="F454">
        <f>IF(B454="","",F453+(C454&lt;&gt;C453))</f>
        <v/>
      </c>
      <c r="G454">
        <f>IF(B454="","",F454&amp;"|"&amp;D454)</f>
        <v/>
      </c>
    </row>
    <row r="455">
      <c r="A455" t="n">
        <v>444</v>
      </c>
      <c r="B455">
        <f>IF(A455&lt;=$B$4,$B$3+A455-1,"")</f>
        <v/>
      </c>
      <c r="C455">
        <f>IF(B455="","",INDEX(D_LOT,B455)&amp;"")</f>
        <v/>
      </c>
      <c r="D455">
        <f>IF(B455="","",INDEX(D_SEQ,B455))</f>
        <v/>
      </c>
      <c r="E455">
        <f>IF(B455="","",IFERROR(VALUE(INDEX(D_VAL,B455)&amp;""),""))</f>
        <v/>
      </c>
      <c r="F455">
        <f>IF(B455="","",F454+(C455&lt;&gt;C454))</f>
        <v/>
      </c>
      <c r="G455">
        <f>IF(B455="","",F455&amp;"|"&amp;D455)</f>
        <v/>
      </c>
    </row>
    <row r="456">
      <c r="A456" t="n">
        <v>445</v>
      </c>
      <c r="B456">
        <f>IF(A456&lt;=$B$4,$B$3+A456-1,"")</f>
        <v/>
      </c>
      <c r="C456">
        <f>IF(B456="","",INDEX(D_LOT,B456)&amp;"")</f>
        <v/>
      </c>
      <c r="D456">
        <f>IF(B456="","",INDEX(D_SEQ,B456))</f>
        <v/>
      </c>
      <c r="E456">
        <f>IF(B456="","",IFERROR(VALUE(INDEX(D_VAL,B456)&amp;""),""))</f>
        <v/>
      </c>
      <c r="F456">
        <f>IF(B456="","",F455+(C456&lt;&gt;C455))</f>
        <v/>
      </c>
      <c r="G456">
        <f>IF(B456="","",F456&amp;"|"&amp;D456)</f>
        <v/>
      </c>
    </row>
    <row r="457">
      <c r="A457" t="n">
        <v>446</v>
      </c>
      <c r="B457">
        <f>IF(A457&lt;=$B$4,$B$3+A457-1,"")</f>
        <v/>
      </c>
      <c r="C457">
        <f>IF(B457="","",INDEX(D_LOT,B457)&amp;"")</f>
        <v/>
      </c>
      <c r="D457">
        <f>IF(B457="","",INDEX(D_SEQ,B457))</f>
        <v/>
      </c>
      <c r="E457">
        <f>IF(B457="","",IFERROR(VALUE(INDEX(D_VAL,B457)&amp;""),""))</f>
        <v/>
      </c>
      <c r="F457">
        <f>IF(B457="","",F456+(C457&lt;&gt;C456))</f>
        <v/>
      </c>
      <c r="G457">
        <f>IF(B457="","",F457&amp;"|"&amp;D457)</f>
        <v/>
      </c>
    </row>
    <row r="458">
      <c r="A458" t="n">
        <v>447</v>
      </c>
      <c r="B458">
        <f>IF(A458&lt;=$B$4,$B$3+A458-1,"")</f>
        <v/>
      </c>
      <c r="C458">
        <f>IF(B458="","",INDEX(D_LOT,B458)&amp;"")</f>
        <v/>
      </c>
      <c r="D458">
        <f>IF(B458="","",INDEX(D_SEQ,B458))</f>
        <v/>
      </c>
      <c r="E458">
        <f>IF(B458="","",IFERROR(VALUE(INDEX(D_VAL,B458)&amp;""),""))</f>
        <v/>
      </c>
      <c r="F458">
        <f>IF(B458="","",F457+(C458&lt;&gt;C457))</f>
        <v/>
      </c>
      <c r="G458">
        <f>IF(B458="","",F458&amp;"|"&amp;D458)</f>
        <v/>
      </c>
    </row>
    <row r="459">
      <c r="A459" t="n">
        <v>448</v>
      </c>
      <c r="B459">
        <f>IF(A459&lt;=$B$4,$B$3+A459-1,"")</f>
        <v/>
      </c>
      <c r="C459">
        <f>IF(B459="","",INDEX(D_LOT,B459)&amp;"")</f>
        <v/>
      </c>
      <c r="D459">
        <f>IF(B459="","",INDEX(D_SEQ,B459))</f>
        <v/>
      </c>
      <c r="E459">
        <f>IF(B459="","",IFERROR(VALUE(INDEX(D_VAL,B459)&amp;""),""))</f>
        <v/>
      </c>
      <c r="F459">
        <f>IF(B459="","",F458+(C459&lt;&gt;C458))</f>
        <v/>
      </c>
      <c r="G459">
        <f>IF(B459="","",F459&amp;"|"&amp;D459)</f>
        <v/>
      </c>
    </row>
    <row r="460">
      <c r="A460" t="n">
        <v>449</v>
      </c>
      <c r="B460">
        <f>IF(A460&lt;=$B$4,$B$3+A460-1,"")</f>
        <v/>
      </c>
      <c r="C460">
        <f>IF(B460="","",INDEX(D_LOT,B460)&amp;"")</f>
        <v/>
      </c>
      <c r="D460">
        <f>IF(B460="","",INDEX(D_SEQ,B460))</f>
        <v/>
      </c>
      <c r="E460">
        <f>IF(B460="","",IFERROR(VALUE(INDEX(D_VAL,B460)&amp;""),""))</f>
        <v/>
      </c>
      <c r="F460">
        <f>IF(B460="","",F459+(C460&lt;&gt;C459))</f>
        <v/>
      </c>
      <c r="G460">
        <f>IF(B460="","",F460&amp;"|"&amp;D460)</f>
        <v/>
      </c>
    </row>
    <row r="461">
      <c r="A461" t="n">
        <v>450</v>
      </c>
      <c r="B461">
        <f>IF(A461&lt;=$B$4,$B$3+A461-1,"")</f>
        <v/>
      </c>
      <c r="C461">
        <f>IF(B461="","",INDEX(D_LOT,B461)&amp;"")</f>
        <v/>
      </c>
      <c r="D461">
        <f>IF(B461="","",INDEX(D_SEQ,B461))</f>
        <v/>
      </c>
      <c r="E461">
        <f>IF(B461="","",IFERROR(VALUE(INDEX(D_VAL,B461)&amp;""),""))</f>
        <v/>
      </c>
      <c r="F461">
        <f>IF(B461="","",F460+(C461&lt;&gt;C460))</f>
        <v/>
      </c>
      <c r="G461">
        <f>IF(B461="","",F461&amp;"|"&amp;D461)</f>
        <v/>
      </c>
    </row>
    <row r="462">
      <c r="A462" t="n">
        <v>451</v>
      </c>
      <c r="B462">
        <f>IF(A462&lt;=$B$4,$B$3+A462-1,"")</f>
        <v/>
      </c>
      <c r="C462">
        <f>IF(B462="","",INDEX(D_LOT,B462)&amp;"")</f>
        <v/>
      </c>
      <c r="D462">
        <f>IF(B462="","",INDEX(D_SEQ,B462))</f>
        <v/>
      </c>
      <c r="E462">
        <f>IF(B462="","",IFERROR(VALUE(INDEX(D_VAL,B462)&amp;""),""))</f>
        <v/>
      </c>
      <c r="F462">
        <f>IF(B462="","",F461+(C462&lt;&gt;C461))</f>
        <v/>
      </c>
      <c r="G462">
        <f>IF(B462="","",F462&amp;"|"&amp;D462)</f>
        <v/>
      </c>
    </row>
    <row r="463">
      <c r="A463" t="n">
        <v>452</v>
      </c>
      <c r="B463">
        <f>IF(A463&lt;=$B$4,$B$3+A463-1,"")</f>
        <v/>
      </c>
      <c r="C463">
        <f>IF(B463="","",INDEX(D_LOT,B463)&amp;"")</f>
        <v/>
      </c>
      <c r="D463">
        <f>IF(B463="","",INDEX(D_SEQ,B463))</f>
        <v/>
      </c>
      <c r="E463">
        <f>IF(B463="","",IFERROR(VALUE(INDEX(D_VAL,B463)&amp;""),""))</f>
        <v/>
      </c>
      <c r="F463">
        <f>IF(B463="","",F462+(C463&lt;&gt;C462))</f>
        <v/>
      </c>
      <c r="G463">
        <f>IF(B463="","",F463&amp;"|"&amp;D463)</f>
        <v/>
      </c>
    </row>
    <row r="464">
      <c r="A464" t="n">
        <v>453</v>
      </c>
      <c r="B464">
        <f>IF(A464&lt;=$B$4,$B$3+A464-1,"")</f>
        <v/>
      </c>
      <c r="C464">
        <f>IF(B464="","",INDEX(D_LOT,B464)&amp;"")</f>
        <v/>
      </c>
      <c r="D464">
        <f>IF(B464="","",INDEX(D_SEQ,B464))</f>
        <v/>
      </c>
      <c r="E464">
        <f>IF(B464="","",IFERROR(VALUE(INDEX(D_VAL,B464)&amp;""),""))</f>
        <v/>
      </c>
      <c r="F464">
        <f>IF(B464="","",F463+(C464&lt;&gt;C463))</f>
        <v/>
      </c>
      <c r="G464">
        <f>IF(B464="","",F464&amp;"|"&amp;D464)</f>
        <v/>
      </c>
    </row>
    <row r="465">
      <c r="A465" t="n">
        <v>454</v>
      </c>
      <c r="B465">
        <f>IF(A465&lt;=$B$4,$B$3+A465-1,"")</f>
        <v/>
      </c>
      <c r="C465">
        <f>IF(B465="","",INDEX(D_LOT,B465)&amp;"")</f>
        <v/>
      </c>
      <c r="D465">
        <f>IF(B465="","",INDEX(D_SEQ,B465))</f>
        <v/>
      </c>
      <c r="E465">
        <f>IF(B465="","",IFERROR(VALUE(INDEX(D_VAL,B465)&amp;""),""))</f>
        <v/>
      </c>
      <c r="F465">
        <f>IF(B465="","",F464+(C465&lt;&gt;C464))</f>
        <v/>
      </c>
      <c r="G465">
        <f>IF(B465="","",F465&amp;"|"&amp;D465)</f>
        <v/>
      </c>
    </row>
    <row r="466">
      <c r="A466" t="n">
        <v>455</v>
      </c>
      <c r="B466">
        <f>IF(A466&lt;=$B$4,$B$3+A466-1,"")</f>
        <v/>
      </c>
      <c r="C466">
        <f>IF(B466="","",INDEX(D_LOT,B466)&amp;"")</f>
        <v/>
      </c>
      <c r="D466">
        <f>IF(B466="","",INDEX(D_SEQ,B466))</f>
        <v/>
      </c>
      <c r="E466">
        <f>IF(B466="","",IFERROR(VALUE(INDEX(D_VAL,B466)&amp;""),""))</f>
        <v/>
      </c>
      <c r="F466">
        <f>IF(B466="","",F465+(C466&lt;&gt;C465))</f>
        <v/>
      </c>
      <c r="G466">
        <f>IF(B466="","",F466&amp;"|"&amp;D466)</f>
        <v/>
      </c>
    </row>
    <row r="467">
      <c r="A467" t="n">
        <v>456</v>
      </c>
      <c r="B467">
        <f>IF(A467&lt;=$B$4,$B$3+A467-1,"")</f>
        <v/>
      </c>
      <c r="C467">
        <f>IF(B467="","",INDEX(D_LOT,B467)&amp;"")</f>
        <v/>
      </c>
      <c r="D467">
        <f>IF(B467="","",INDEX(D_SEQ,B467))</f>
        <v/>
      </c>
      <c r="E467">
        <f>IF(B467="","",IFERROR(VALUE(INDEX(D_VAL,B467)&amp;""),""))</f>
        <v/>
      </c>
      <c r="F467">
        <f>IF(B467="","",F466+(C467&lt;&gt;C466))</f>
        <v/>
      </c>
      <c r="G467">
        <f>IF(B467="","",F467&amp;"|"&amp;D467)</f>
        <v/>
      </c>
    </row>
    <row r="468">
      <c r="A468" t="n">
        <v>457</v>
      </c>
      <c r="B468">
        <f>IF(A468&lt;=$B$4,$B$3+A468-1,"")</f>
        <v/>
      </c>
      <c r="C468">
        <f>IF(B468="","",INDEX(D_LOT,B468)&amp;"")</f>
        <v/>
      </c>
      <c r="D468">
        <f>IF(B468="","",INDEX(D_SEQ,B468))</f>
        <v/>
      </c>
      <c r="E468">
        <f>IF(B468="","",IFERROR(VALUE(INDEX(D_VAL,B468)&amp;""),""))</f>
        <v/>
      </c>
      <c r="F468">
        <f>IF(B468="","",F467+(C468&lt;&gt;C467))</f>
        <v/>
      </c>
      <c r="G468">
        <f>IF(B468="","",F468&amp;"|"&amp;D468)</f>
        <v/>
      </c>
    </row>
    <row r="469">
      <c r="A469" t="n">
        <v>458</v>
      </c>
      <c r="B469">
        <f>IF(A469&lt;=$B$4,$B$3+A469-1,"")</f>
        <v/>
      </c>
      <c r="C469">
        <f>IF(B469="","",INDEX(D_LOT,B469)&amp;"")</f>
        <v/>
      </c>
      <c r="D469">
        <f>IF(B469="","",INDEX(D_SEQ,B469))</f>
        <v/>
      </c>
      <c r="E469">
        <f>IF(B469="","",IFERROR(VALUE(INDEX(D_VAL,B469)&amp;""),""))</f>
        <v/>
      </c>
      <c r="F469">
        <f>IF(B469="","",F468+(C469&lt;&gt;C468))</f>
        <v/>
      </c>
      <c r="G469">
        <f>IF(B469="","",F469&amp;"|"&amp;D469)</f>
        <v/>
      </c>
    </row>
    <row r="470">
      <c r="A470" t="n">
        <v>459</v>
      </c>
      <c r="B470">
        <f>IF(A470&lt;=$B$4,$B$3+A470-1,"")</f>
        <v/>
      </c>
      <c r="C470">
        <f>IF(B470="","",INDEX(D_LOT,B470)&amp;"")</f>
        <v/>
      </c>
      <c r="D470">
        <f>IF(B470="","",INDEX(D_SEQ,B470))</f>
        <v/>
      </c>
      <c r="E470">
        <f>IF(B470="","",IFERROR(VALUE(INDEX(D_VAL,B470)&amp;""),""))</f>
        <v/>
      </c>
      <c r="F470">
        <f>IF(B470="","",F469+(C470&lt;&gt;C469))</f>
        <v/>
      </c>
      <c r="G470">
        <f>IF(B470="","",F470&amp;"|"&amp;D470)</f>
        <v/>
      </c>
    </row>
    <row r="471">
      <c r="A471" t="n">
        <v>460</v>
      </c>
      <c r="B471">
        <f>IF(A471&lt;=$B$4,$B$3+A471-1,"")</f>
        <v/>
      </c>
      <c r="C471">
        <f>IF(B471="","",INDEX(D_LOT,B471)&amp;"")</f>
        <v/>
      </c>
      <c r="D471">
        <f>IF(B471="","",INDEX(D_SEQ,B471))</f>
        <v/>
      </c>
      <c r="E471">
        <f>IF(B471="","",IFERROR(VALUE(INDEX(D_VAL,B471)&amp;""),""))</f>
        <v/>
      </c>
      <c r="F471">
        <f>IF(B471="","",F470+(C471&lt;&gt;C470))</f>
        <v/>
      </c>
      <c r="G471">
        <f>IF(B471="","",F471&amp;"|"&amp;D471)</f>
        <v/>
      </c>
    </row>
    <row r="472">
      <c r="A472" t="n">
        <v>461</v>
      </c>
      <c r="B472">
        <f>IF(A472&lt;=$B$4,$B$3+A472-1,"")</f>
        <v/>
      </c>
      <c r="C472">
        <f>IF(B472="","",INDEX(D_LOT,B472)&amp;"")</f>
        <v/>
      </c>
      <c r="D472">
        <f>IF(B472="","",INDEX(D_SEQ,B472))</f>
        <v/>
      </c>
      <c r="E472">
        <f>IF(B472="","",IFERROR(VALUE(INDEX(D_VAL,B472)&amp;""),""))</f>
        <v/>
      </c>
      <c r="F472">
        <f>IF(B472="","",F471+(C472&lt;&gt;C471))</f>
        <v/>
      </c>
      <c r="G472">
        <f>IF(B472="","",F472&amp;"|"&amp;D472)</f>
        <v/>
      </c>
    </row>
    <row r="473">
      <c r="A473" t="n">
        <v>462</v>
      </c>
      <c r="B473">
        <f>IF(A473&lt;=$B$4,$B$3+A473-1,"")</f>
        <v/>
      </c>
      <c r="C473">
        <f>IF(B473="","",INDEX(D_LOT,B473)&amp;"")</f>
        <v/>
      </c>
      <c r="D473">
        <f>IF(B473="","",INDEX(D_SEQ,B473))</f>
        <v/>
      </c>
      <c r="E473">
        <f>IF(B473="","",IFERROR(VALUE(INDEX(D_VAL,B473)&amp;""),""))</f>
        <v/>
      </c>
      <c r="F473">
        <f>IF(B473="","",F472+(C473&lt;&gt;C472))</f>
        <v/>
      </c>
      <c r="G473">
        <f>IF(B473="","",F473&amp;"|"&amp;D473)</f>
        <v/>
      </c>
    </row>
    <row r="474">
      <c r="A474" t="n">
        <v>463</v>
      </c>
      <c r="B474">
        <f>IF(A474&lt;=$B$4,$B$3+A474-1,"")</f>
        <v/>
      </c>
      <c r="C474">
        <f>IF(B474="","",INDEX(D_LOT,B474)&amp;"")</f>
        <v/>
      </c>
      <c r="D474">
        <f>IF(B474="","",INDEX(D_SEQ,B474))</f>
        <v/>
      </c>
      <c r="E474">
        <f>IF(B474="","",IFERROR(VALUE(INDEX(D_VAL,B474)&amp;""),""))</f>
        <v/>
      </c>
      <c r="F474">
        <f>IF(B474="","",F473+(C474&lt;&gt;C473))</f>
        <v/>
      </c>
      <c r="G474">
        <f>IF(B474="","",F474&amp;"|"&amp;D474)</f>
        <v/>
      </c>
    </row>
    <row r="475">
      <c r="A475" t="n">
        <v>464</v>
      </c>
      <c r="B475">
        <f>IF(A475&lt;=$B$4,$B$3+A475-1,"")</f>
        <v/>
      </c>
      <c r="C475">
        <f>IF(B475="","",INDEX(D_LOT,B475)&amp;"")</f>
        <v/>
      </c>
      <c r="D475">
        <f>IF(B475="","",INDEX(D_SEQ,B475))</f>
        <v/>
      </c>
      <c r="E475">
        <f>IF(B475="","",IFERROR(VALUE(INDEX(D_VAL,B475)&amp;""),""))</f>
        <v/>
      </c>
      <c r="F475">
        <f>IF(B475="","",F474+(C475&lt;&gt;C474))</f>
        <v/>
      </c>
      <c r="G475">
        <f>IF(B475="","",F475&amp;"|"&amp;D475)</f>
        <v/>
      </c>
    </row>
    <row r="476">
      <c r="A476" t="n">
        <v>465</v>
      </c>
      <c r="B476">
        <f>IF(A476&lt;=$B$4,$B$3+A476-1,"")</f>
        <v/>
      </c>
      <c r="C476">
        <f>IF(B476="","",INDEX(D_LOT,B476)&amp;"")</f>
        <v/>
      </c>
      <c r="D476">
        <f>IF(B476="","",INDEX(D_SEQ,B476))</f>
        <v/>
      </c>
      <c r="E476">
        <f>IF(B476="","",IFERROR(VALUE(INDEX(D_VAL,B476)&amp;""),""))</f>
        <v/>
      </c>
      <c r="F476">
        <f>IF(B476="","",F475+(C476&lt;&gt;C475))</f>
        <v/>
      </c>
      <c r="G476">
        <f>IF(B476="","",F476&amp;"|"&amp;D476)</f>
        <v/>
      </c>
    </row>
    <row r="477">
      <c r="A477" t="n">
        <v>466</v>
      </c>
      <c r="B477">
        <f>IF(A477&lt;=$B$4,$B$3+A477-1,"")</f>
        <v/>
      </c>
      <c r="C477">
        <f>IF(B477="","",INDEX(D_LOT,B477)&amp;"")</f>
        <v/>
      </c>
      <c r="D477">
        <f>IF(B477="","",INDEX(D_SEQ,B477))</f>
        <v/>
      </c>
      <c r="E477">
        <f>IF(B477="","",IFERROR(VALUE(INDEX(D_VAL,B477)&amp;""),""))</f>
        <v/>
      </c>
      <c r="F477">
        <f>IF(B477="","",F476+(C477&lt;&gt;C476))</f>
        <v/>
      </c>
      <c r="G477">
        <f>IF(B477="","",F477&amp;"|"&amp;D477)</f>
        <v/>
      </c>
    </row>
    <row r="478">
      <c r="A478" t="n">
        <v>467</v>
      </c>
      <c r="B478">
        <f>IF(A478&lt;=$B$4,$B$3+A478-1,"")</f>
        <v/>
      </c>
      <c r="C478">
        <f>IF(B478="","",INDEX(D_LOT,B478)&amp;"")</f>
        <v/>
      </c>
      <c r="D478">
        <f>IF(B478="","",INDEX(D_SEQ,B478))</f>
        <v/>
      </c>
      <c r="E478">
        <f>IF(B478="","",IFERROR(VALUE(INDEX(D_VAL,B478)&amp;""),""))</f>
        <v/>
      </c>
      <c r="F478">
        <f>IF(B478="","",F477+(C478&lt;&gt;C477))</f>
        <v/>
      </c>
      <c r="G478">
        <f>IF(B478="","",F478&amp;"|"&amp;D478)</f>
        <v/>
      </c>
    </row>
    <row r="479">
      <c r="A479" t="n">
        <v>468</v>
      </c>
      <c r="B479">
        <f>IF(A479&lt;=$B$4,$B$3+A479-1,"")</f>
        <v/>
      </c>
      <c r="C479">
        <f>IF(B479="","",INDEX(D_LOT,B479)&amp;"")</f>
        <v/>
      </c>
      <c r="D479">
        <f>IF(B479="","",INDEX(D_SEQ,B479))</f>
        <v/>
      </c>
      <c r="E479">
        <f>IF(B479="","",IFERROR(VALUE(INDEX(D_VAL,B479)&amp;""),""))</f>
        <v/>
      </c>
      <c r="F479">
        <f>IF(B479="","",F478+(C479&lt;&gt;C478))</f>
        <v/>
      </c>
      <c r="G479">
        <f>IF(B479="","",F479&amp;"|"&amp;D479)</f>
        <v/>
      </c>
    </row>
    <row r="480">
      <c r="A480" t="n">
        <v>469</v>
      </c>
      <c r="B480">
        <f>IF(A480&lt;=$B$4,$B$3+A480-1,"")</f>
        <v/>
      </c>
      <c r="C480">
        <f>IF(B480="","",INDEX(D_LOT,B480)&amp;"")</f>
        <v/>
      </c>
      <c r="D480">
        <f>IF(B480="","",INDEX(D_SEQ,B480))</f>
        <v/>
      </c>
      <c r="E480">
        <f>IF(B480="","",IFERROR(VALUE(INDEX(D_VAL,B480)&amp;""),""))</f>
        <v/>
      </c>
      <c r="F480">
        <f>IF(B480="","",F479+(C480&lt;&gt;C479))</f>
        <v/>
      </c>
      <c r="G480">
        <f>IF(B480="","",F480&amp;"|"&amp;D480)</f>
        <v/>
      </c>
    </row>
    <row r="481">
      <c r="A481" t="n">
        <v>470</v>
      </c>
      <c r="B481">
        <f>IF(A481&lt;=$B$4,$B$3+A481-1,"")</f>
        <v/>
      </c>
      <c r="C481">
        <f>IF(B481="","",INDEX(D_LOT,B481)&amp;"")</f>
        <v/>
      </c>
      <c r="D481">
        <f>IF(B481="","",INDEX(D_SEQ,B481))</f>
        <v/>
      </c>
      <c r="E481">
        <f>IF(B481="","",IFERROR(VALUE(INDEX(D_VAL,B481)&amp;""),""))</f>
        <v/>
      </c>
      <c r="F481">
        <f>IF(B481="","",F480+(C481&lt;&gt;C480))</f>
        <v/>
      </c>
      <c r="G481">
        <f>IF(B481="","",F481&amp;"|"&amp;D481)</f>
        <v/>
      </c>
    </row>
    <row r="482">
      <c r="A482" t="n">
        <v>471</v>
      </c>
      <c r="B482">
        <f>IF(A482&lt;=$B$4,$B$3+A482-1,"")</f>
        <v/>
      </c>
      <c r="C482">
        <f>IF(B482="","",INDEX(D_LOT,B482)&amp;"")</f>
        <v/>
      </c>
      <c r="D482">
        <f>IF(B482="","",INDEX(D_SEQ,B482))</f>
        <v/>
      </c>
      <c r="E482">
        <f>IF(B482="","",IFERROR(VALUE(INDEX(D_VAL,B482)&amp;""),""))</f>
        <v/>
      </c>
      <c r="F482">
        <f>IF(B482="","",F481+(C482&lt;&gt;C481))</f>
        <v/>
      </c>
      <c r="G482">
        <f>IF(B482="","",F482&amp;"|"&amp;D482)</f>
        <v/>
      </c>
    </row>
    <row r="483">
      <c r="A483" t="n">
        <v>472</v>
      </c>
      <c r="B483">
        <f>IF(A483&lt;=$B$4,$B$3+A483-1,"")</f>
        <v/>
      </c>
      <c r="C483">
        <f>IF(B483="","",INDEX(D_LOT,B483)&amp;"")</f>
        <v/>
      </c>
      <c r="D483">
        <f>IF(B483="","",INDEX(D_SEQ,B483))</f>
        <v/>
      </c>
      <c r="E483">
        <f>IF(B483="","",IFERROR(VALUE(INDEX(D_VAL,B483)&amp;""),""))</f>
        <v/>
      </c>
      <c r="F483">
        <f>IF(B483="","",F482+(C483&lt;&gt;C482))</f>
        <v/>
      </c>
      <c r="G483">
        <f>IF(B483="","",F483&amp;"|"&amp;D483)</f>
        <v/>
      </c>
    </row>
    <row r="484">
      <c r="A484" t="n">
        <v>473</v>
      </c>
      <c r="B484">
        <f>IF(A484&lt;=$B$4,$B$3+A484-1,"")</f>
        <v/>
      </c>
      <c r="C484">
        <f>IF(B484="","",INDEX(D_LOT,B484)&amp;"")</f>
        <v/>
      </c>
      <c r="D484">
        <f>IF(B484="","",INDEX(D_SEQ,B484))</f>
        <v/>
      </c>
      <c r="E484">
        <f>IF(B484="","",IFERROR(VALUE(INDEX(D_VAL,B484)&amp;""),""))</f>
        <v/>
      </c>
      <c r="F484">
        <f>IF(B484="","",F483+(C484&lt;&gt;C483))</f>
        <v/>
      </c>
      <c r="G484">
        <f>IF(B484="","",F484&amp;"|"&amp;D484)</f>
        <v/>
      </c>
    </row>
    <row r="485">
      <c r="A485" t="n">
        <v>474</v>
      </c>
      <c r="B485">
        <f>IF(A485&lt;=$B$4,$B$3+A485-1,"")</f>
        <v/>
      </c>
      <c r="C485">
        <f>IF(B485="","",INDEX(D_LOT,B485)&amp;"")</f>
        <v/>
      </c>
      <c r="D485">
        <f>IF(B485="","",INDEX(D_SEQ,B485))</f>
        <v/>
      </c>
      <c r="E485">
        <f>IF(B485="","",IFERROR(VALUE(INDEX(D_VAL,B485)&amp;""),""))</f>
        <v/>
      </c>
      <c r="F485">
        <f>IF(B485="","",F484+(C485&lt;&gt;C484))</f>
        <v/>
      </c>
      <c r="G485">
        <f>IF(B485="","",F485&amp;"|"&amp;D485)</f>
        <v/>
      </c>
    </row>
    <row r="486">
      <c r="A486" t="n">
        <v>475</v>
      </c>
      <c r="B486">
        <f>IF(A486&lt;=$B$4,$B$3+A486-1,"")</f>
        <v/>
      </c>
      <c r="C486">
        <f>IF(B486="","",INDEX(D_LOT,B486)&amp;"")</f>
        <v/>
      </c>
      <c r="D486">
        <f>IF(B486="","",INDEX(D_SEQ,B486))</f>
        <v/>
      </c>
      <c r="E486">
        <f>IF(B486="","",IFERROR(VALUE(INDEX(D_VAL,B486)&amp;""),""))</f>
        <v/>
      </c>
      <c r="F486">
        <f>IF(B486="","",F485+(C486&lt;&gt;C485))</f>
        <v/>
      </c>
      <c r="G486">
        <f>IF(B486="","",F486&amp;"|"&amp;D486)</f>
        <v/>
      </c>
    </row>
    <row r="487">
      <c r="A487" t="n">
        <v>476</v>
      </c>
      <c r="B487">
        <f>IF(A487&lt;=$B$4,$B$3+A487-1,"")</f>
        <v/>
      </c>
      <c r="C487">
        <f>IF(B487="","",INDEX(D_LOT,B487)&amp;"")</f>
        <v/>
      </c>
      <c r="D487">
        <f>IF(B487="","",INDEX(D_SEQ,B487))</f>
        <v/>
      </c>
      <c r="E487">
        <f>IF(B487="","",IFERROR(VALUE(INDEX(D_VAL,B487)&amp;""),""))</f>
        <v/>
      </c>
      <c r="F487">
        <f>IF(B487="","",F486+(C487&lt;&gt;C486))</f>
        <v/>
      </c>
      <c r="G487">
        <f>IF(B487="","",F487&amp;"|"&amp;D487)</f>
        <v/>
      </c>
    </row>
    <row r="488">
      <c r="A488" t="n">
        <v>477</v>
      </c>
      <c r="B488">
        <f>IF(A488&lt;=$B$4,$B$3+A488-1,"")</f>
        <v/>
      </c>
      <c r="C488">
        <f>IF(B488="","",INDEX(D_LOT,B488)&amp;"")</f>
        <v/>
      </c>
      <c r="D488">
        <f>IF(B488="","",INDEX(D_SEQ,B488))</f>
        <v/>
      </c>
      <c r="E488">
        <f>IF(B488="","",IFERROR(VALUE(INDEX(D_VAL,B488)&amp;""),""))</f>
        <v/>
      </c>
      <c r="F488">
        <f>IF(B488="","",F487+(C488&lt;&gt;C487))</f>
        <v/>
      </c>
      <c r="G488">
        <f>IF(B488="","",F488&amp;"|"&amp;D488)</f>
        <v/>
      </c>
    </row>
    <row r="489">
      <c r="A489" t="n">
        <v>478</v>
      </c>
      <c r="B489">
        <f>IF(A489&lt;=$B$4,$B$3+A489-1,"")</f>
        <v/>
      </c>
      <c r="C489">
        <f>IF(B489="","",INDEX(D_LOT,B489)&amp;"")</f>
        <v/>
      </c>
      <c r="D489">
        <f>IF(B489="","",INDEX(D_SEQ,B489))</f>
        <v/>
      </c>
      <c r="E489">
        <f>IF(B489="","",IFERROR(VALUE(INDEX(D_VAL,B489)&amp;""),""))</f>
        <v/>
      </c>
      <c r="F489">
        <f>IF(B489="","",F488+(C489&lt;&gt;C488))</f>
        <v/>
      </c>
      <c r="G489">
        <f>IF(B489="","",F489&amp;"|"&amp;D489)</f>
        <v/>
      </c>
    </row>
    <row r="490">
      <c r="A490" t="n">
        <v>479</v>
      </c>
      <c r="B490">
        <f>IF(A490&lt;=$B$4,$B$3+A490-1,"")</f>
        <v/>
      </c>
      <c r="C490">
        <f>IF(B490="","",INDEX(D_LOT,B490)&amp;"")</f>
        <v/>
      </c>
      <c r="D490">
        <f>IF(B490="","",INDEX(D_SEQ,B490))</f>
        <v/>
      </c>
      <c r="E490">
        <f>IF(B490="","",IFERROR(VALUE(INDEX(D_VAL,B490)&amp;""),""))</f>
        <v/>
      </c>
      <c r="F490">
        <f>IF(B490="","",F489+(C490&lt;&gt;C489))</f>
        <v/>
      </c>
      <c r="G490">
        <f>IF(B490="","",F490&amp;"|"&amp;D490)</f>
        <v/>
      </c>
    </row>
    <row r="491">
      <c r="A491" t="n">
        <v>480</v>
      </c>
      <c r="B491">
        <f>IF(A491&lt;=$B$4,$B$3+A491-1,"")</f>
        <v/>
      </c>
      <c r="C491">
        <f>IF(B491="","",INDEX(D_LOT,B491)&amp;"")</f>
        <v/>
      </c>
      <c r="D491">
        <f>IF(B491="","",INDEX(D_SEQ,B491))</f>
        <v/>
      </c>
      <c r="E491">
        <f>IF(B491="","",IFERROR(VALUE(INDEX(D_VAL,B491)&amp;""),""))</f>
        <v/>
      </c>
      <c r="F491">
        <f>IF(B491="","",F490+(C491&lt;&gt;C490))</f>
        <v/>
      </c>
      <c r="G491">
        <f>IF(B491="","",F491&amp;"|"&amp;D491)</f>
        <v/>
      </c>
    </row>
    <row r="492">
      <c r="A492" t="n">
        <v>481</v>
      </c>
      <c r="B492">
        <f>IF(A492&lt;=$B$4,$B$3+A492-1,"")</f>
        <v/>
      </c>
      <c r="C492">
        <f>IF(B492="","",INDEX(D_LOT,B492)&amp;"")</f>
        <v/>
      </c>
      <c r="D492">
        <f>IF(B492="","",INDEX(D_SEQ,B492))</f>
        <v/>
      </c>
      <c r="E492">
        <f>IF(B492="","",IFERROR(VALUE(INDEX(D_VAL,B492)&amp;""),""))</f>
        <v/>
      </c>
      <c r="F492">
        <f>IF(B492="","",F491+(C492&lt;&gt;C491))</f>
        <v/>
      </c>
      <c r="G492">
        <f>IF(B492="","",F492&amp;"|"&amp;D492)</f>
        <v/>
      </c>
    </row>
    <row r="493">
      <c r="A493" t="n">
        <v>482</v>
      </c>
      <c r="B493">
        <f>IF(A493&lt;=$B$4,$B$3+A493-1,"")</f>
        <v/>
      </c>
      <c r="C493">
        <f>IF(B493="","",INDEX(D_LOT,B493)&amp;"")</f>
        <v/>
      </c>
      <c r="D493">
        <f>IF(B493="","",INDEX(D_SEQ,B493))</f>
        <v/>
      </c>
      <c r="E493">
        <f>IF(B493="","",IFERROR(VALUE(INDEX(D_VAL,B493)&amp;""),""))</f>
        <v/>
      </c>
      <c r="F493">
        <f>IF(B493="","",F492+(C493&lt;&gt;C492))</f>
        <v/>
      </c>
      <c r="G493">
        <f>IF(B493="","",F493&amp;"|"&amp;D493)</f>
        <v/>
      </c>
    </row>
    <row r="494">
      <c r="A494" t="n">
        <v>483</v>
      </c>
      <c r="B494">
        <f>IF(A494&lt;=$B$4,$B$3+A494-1,"")</f>
        <v/>
      </c>
      <c r="C494">
        <f>IF(B494="","",INDEX(D_LOT,B494)&amp;"")</f>
        <v/>
      </c>
      <c r="D494">
        <f>IF(B494="","",INDEX(D_SEQ,B494))</f>
        <v/>
      </c>
      <c r="E494">
        <f>IF(B494="","",IFERROR(VALUE(INDEX(D_VAL,B494)&amp;""),""))</f>
        <v/>
      </c>
      <c r="F494">
        <f>IF(B494="","",F493+(C494&lt;&gt;C493))</f>
        <v/>
      </c>
      <c r="G494">
        <f>IF(B494="","",F494&amp;"|"&amp;D494)</f>
        <v/>
      </c>
    </row>
    <row r="495">
      <c r="A495" t="n">
        <v>484</v>
      </c>
      <c r="B495">
        <f>IF(A495&lt;=$B$4,$B$3+A495-1,"")</f>
        <v/>
      </c>
      <c r="C495">
        <f>IF(B495="","",INDEX(D_LOT,B495)&amp;"")</f>
        <v/>
      </c>
      <c r="D495">
        <f>IF(B495="","",INDEX(D_SEQ,B495))</f>
        <v/>
      </c>
      <c r="E495">
        <f>IF(B495="","",IFERROR(VALUE(INDEX(D_VAL,B495)&amp;""),""))</f>
        <v/>
      </c>
      <c r="F495">
        <f>IF(B495="","",F494+(C495&lt;&gt;C494))</f>
        <v/>
      </c>
      <c r="G495">
        <f>IF(B495="","",F495&amp;"|"&amp;D495)</f>
        <v/>
      </c>
    </row>
    <row r="496">
      <c r="A496" t="n">
        <v>485</v>
      </c>
      <c r="B496">
        <f>IF(A496&lt;=$B$4,$B$3+A496-1,"")</f>
        <v/>
      </c>
      <c r="C496">
        <f>IF(B496="","",INDEX(D_LOT,B496)&amp;"")</f>
        <v/>
      </c>
      <c r="D496">
        <f>IF(B496="","",INDEX(D_SEQ,B496))</f>
        <v/>
      </c>
      <c r="E496">
        <f>IF(B496="","",IFERROR(VALUE(INDEX(D_VAL,B496)&amp;""),""))</f>
        <v/>
      </c>
      <c r="F496">
        <f>IF(B496="","",F495+(C496&lt;&gt;C495))</f>
        <v/>
      </c>
      <c r="G496">
        <f>IF(B496="","",F496&amp;"|"&amp;D496)</f>
        <v/>
      </c>
    </row>
    <row r="497">
      <c r="A497" t="n">
        <v>486</v>
      </c>
      <c r="B497">
        <f>IF(A497&lt;=$B$4,$B$3+A497-1,"")</f>
        <v/>
      </c>
      <c r="C497">
        <f>IF(B497="","",INDEX(D_LOT,B497)&amp;"")</f>
        <v/>
      </c>
      <c r="D497">
        <f>IF(B497="","",INDEX(D_SEQ,B497))</f>
        <v/>
      </c>
      <c r="E497">
        <f>IF(B497="","",IFERROR(VALUE(INDEX(D_VAL,B497)&amp;""),""))</f>
        <v/>
      </c>
      <c r="F497">
        <f>IF(B497="","",F496+(C497&lt;&gt;C496))</f>
        <v/>
      </c>
      <c r="G497">
        <f>IF(B497="","",F497&amp;"|"&amp;D497)</f>
        <v/>
      </c>
    </row>
    <row r="498">
      <c r="A498" t="n">
        <v>487</v>
      </c>
      <c r="B498">
        <f>IF(A498&lt;=$B$4,$B$3+A498-1,"")</f>
        <v/>
      </c>
      <c r="C498">
        <f>IF(B498="","",INDEX(D_LOT,B498)&amp;"")</f>
        <v/>
      </c>
      <c r="D498">
        <f>IF(B498="","",INDEX(D_SEQ,B498))</f>
        <v/>
      </c>
      <c r="E498">
        <f>IF(B498="","",IFERROR(VALUE(INDEX(D_VAL,B498)&amp;""),""))</f>
        <v/>
      </c>
      <c r="F498">
        <f>IF(B498="","",F497+(C498&lt;&gt;C497))</f>
        <v/>
      </c>
      <c r="G498">
        <f>IF(B498="","",F498&amp;"|"&amp;D498)</f>
        <v/>
      </c>
    </row>
    <row r="499">
      <c r="A499" t="n">
        <v>488</v>
      </c>
      <c r="B499">
        <f>IF(A499&lt;=$B$4,$B$3+A499-1,"")</f>
        <v/>
      </c>
      <c r="C499">
        <f>IF(B499="","",INDEX(D_LOT,B499)&amp;"")</f>
        <v/>
      </c>
      <c r="D499">
        <f>IF(B499="","",INDEX(D_SEQ,B499))</f>
        <v/>
      </c>
      <c r="E499">
        <f>IF(B499="","",IFERROR(VALUE(INDEX(D_VAL,B499)&amp;""),""))</f>
        <v/>
      </c>
      <c r="F499">
        <f>IF(B499="","",F498+(C499&lt;&gt;C498))</f>
        <v/>
      </c>
      <c r="G499">
        <f>IF(B499="","",F499&amp;"|"&amp;D499)</f>
        <v/>
      </c>
    </row>
    <row r="500">
      <c r="A500" t="n">
        <v>489</v>
      </c>
      <c r="B500">
        <f>IF(A500&lt;=$B$4,$B$3+A500-1,"")</f>
        <v/>
      </c>
      <c r="C500">
        <f>IF(B500="","",INDEX(D_LOT,B500)&amp;"")</f>
        <v/>
      </c>
      <c r="D500">
        <f>IF(B500="","",INDEX(D_SEQ,B500))</f>
        <v/>
      </c>
      <c r="E500">
        <f>IF(B500="","",IFERROR(VALUE(INDEX(D_VAL,B500)&amp;""),""))</f>
        <v/>
      </c>
      <c r="F500">
        <f>IF(B500="","",F499+(C500&lt;&gt;C499))</f>
        <v/>
      </c>
      <c r="G500">
        <f>IF(B500="","",F500&amp;"|"&amp;D500)</f>
        <v/>
      </c>
    </row>
    <row r="501">
      <c r="A501" t="n">
        <v>490</v>
      </c>
      <c r="B501">
        <f>IF(A501&lt;=$B$4,$B$3+A501-1,"")</f>
        <v/>
      </c>
      <c r="C501">
        <f>IF(B501="","",INDEX(D_LOT,B501)&amp;"")</f>
        <v/>
      </c>
      <c r="D501">
        <f>IF(B501="","",INDEX(D_SEQ,B501))</f>
        <v/>
      </c>
      <c r="E501">
        <f>IF(B501="","",IFERROR(VALUE(INDEX(D_VAL,B501)&amp;""),""))</f>
        <v/>
      </c>
      <c r="F501">
        <f>IF(B501="","",F500+(C501&lt;&gt;C500))</f>
        <v/>
      </c>
      <c r="G501">
        <f>IF(B501="","",F501&amp;"|"&amp;D501)</f>
        <v/>
      </c>
    </row>
    <row r="502">
      <c r="A502" t="n">
        <v>491</v>
      </c>
      <c r="B502">
        <f>IF(A502&lt;=$B$4,$B$3+A502-1,"")</f>
        <v/>
      </c>
      <c r="C502">
        <f>IF(B502="","",INDEX(D_LOT,B502)&amp;"")</f>
        <v/>
      </c>
      <c r="D502">
        <f>IF(B502="","",INDEX(D_SEQ,B502))</f>
        <v/>
      </c>
      <c r="E502">
        <f>IF(B502="","",IFERROR(VALUE(INDEX(D_VAL,B502)&amp;""),""))</f>
        <v/>
      </c>
      <c r="F502">
        <f>IF(B502="","",F501+(C502&lt;&gt;C501))</f>
        <v/>
      </c>
      <c r="G502">
        <f>IF(B502="","",F502&amp;"|"&amp;D502)</f>
        <v/>
      </c>
    </row>
    <row r="503">
      <c r="A503" t="n">
        <v>492</v>
      </c>
      <c r="B503">
        <f>IF(A503&lt;=$B$4,$B$3+A503-1,"")</f>
        <v/>
      </c>
      <c r="C503">
        <f>IF(B503="","",INDEX(D_LOT,B503)&amp;"")</f>
        <v/>
      </c>
      <c r="D503">
        <f>IF(B503="","",INDEX(D_SEQ,B503))</f>
        <v/>
      </c>
      <c r="E503">
        <f>IF(B503="","",IFERROR(VALUE(INDEX(D_VAL,B503)&amp;""),""))</f>
        <v/>
      </c>
      <c r="F503">
        <f>IF(B503="","",F502+(C503&lt;&gt;C502))</f>
        <v/>
      </c>
      <c r="G503">
        <f>IF(B503="","",F503&amp;"|"&amp;D503)</f>
        <v/>
      </c>
    </row>
    <row r="504">
      <c r="A504" t="n">
        <v>493</v>
      </c>
      <c r="B504">
        <f>IF(A504&lt;=$B$4,$B$3+A504-1,"")</f>
        <v/>
      </c>
      <c r="C504">
        <f>IF(B504="","",INDEX(D_LOT,B504)&amp;"")</f>
        <v/>
      </c>
      <c r="D504">
        <f>IF(B504="","",INDEX(D_SEQ,B504))</f>
        <v/>
      </c>
      <c r="E504">
        <f>IF(B504="","",IFERROR(VALUE(INDEX(D_VAL,B504)&amp;""),""))</f>
        <v/>
      </c>
      <c r="F504">
        <f>IF(B504="","",F503+(C504&lt;&gt;C503))</f>
        <v/>
      </c>
      <c r="G504">
        <f>IF(B504="","",F504&amp;"|"&amp;D504)</f>
        <v/>
      </c>
    </row>
    <row r="505">
      <c r="A505" t="n">
        <v>494</v>
      </c>
      <c r="B505">
        <f>IF(A505&lt;=$B$4,$B$3+A505-1,"")</f>
        <v/>
      </c>
      <c r="C505">
        <f>IF(B505="","",INDEX(D_LOT,B505)&amp;"")</f>
        <v/>
      </c>
      <c r="D505">
        <f>IF(B505="","",INDEX(D_SEQ,B505))</f>
        <v/>
      </c>
      <c r="E505">
        <f>IF(B505="","",IFERROR(VALUE(INDEX(D_VAL,B505)&amp;""),""))</f>
        <v/>
      </c>
      <c r="F505">
        <f>IF(B505="","",F504+(C505&lt;&gt;C504))</f>
        <v/>
      </c>
      <c r="G505">
        <f>IF(B505="","",F505&amp;"|"&amp;D505)</f>
        <v/>
      </c>
    </row>
    <row r="506">
      <c r="A506" t="n">
        <v>495</v>
      </c>
      <c r="B506">
        <f>IF(A506&lt;=$B$4,$B$3+A506-1,"")</f>
        <v/>
      </c>
      <c r="C506">
        <f>IF(B506="","",INDEX(D_LOT,B506)&amp;"")</f>
        <v/>
      </c>
      <c r="D506">
        <f>IF(B506="","",INDEX(D_SEQ,B506))</f>
        <v/>
      </c>
      <c r="E506">
        <f>IF(B506="","",IFERROR(VALUE(INDEX(D_VAL,B506)&amp;""),""))</f>
        <v/>
      </c>
      <c r="F506">
        <f>IF(B506="","",F505+(C506&lt;&gt;C505))</f>
        <v/>
      </c>
      <c r="G506">
        <f>IF(B506="","",F506&amp;"|"&amp;D506)</f>
        <v/>
      </c>
    </row>
    <row r="507">
      <c r="A507" t="n">
        <v>496</v>
      </c>
      <c r="B507">
        <f>IF(A507&lt;=$B$4,$B$3+A507-1,"")</f>
        <v/>
      </c>
      <c r="C507">
        <f>IF(B507="","",INDEX(D_LOT,B507)&amp;"")</f>
        <v/>
      </c>
      <c r="D507">
        <f>IF(B507="","",INDEX(D_SEQ,B507))</f>
        <v/>
      </c>
      <c r="E507">
        <f>IF(B507="","",IFERROR(VALUE(INDEX(D_VAL,B507)&amp;""),""))</f>
        <v/>
      </c>
      <c r="F507">
        <f>IF(B507="","",F506+(C507&lt;&gt;C506))</f>
        <v/>
      </c>
      <c r="G507">
        <f>IF(B507="","",F507&amp;"|"&amp;D507)</f>
        <v/>
      </c>
    </row>
    <row r="508">
      <c r="A508" t="n">
        <v>497</v>
      </c>
      <c r="B508">
        <f>IF(A508&lt;=$B$4,$B$3+A508-1,"")</f>
        <v/>
      </c>
      <c r="C508">
        <f>IF(B508="","",INDEX(D_LOT,B508)&amp;"")</f>
        <v/>
      </c>
      <c r="D508">
        <f>IF(B508="","",INDEX(D_SEQ,B508))</f>
        <v/>
      </c>
      <c r="E508">
        <f>IF(B508="","",IFERROR(VALUE(INDEX(D_VAL,B508)&amp;""),""))</f>
        <v/>
      </c>
      <c r="F508">
        <f>IF(B508="","",F507+(C508&lt;&gt;C507))</f>
        <v/>
      </c>
      <c r="G508">
        <f>IF(B508="","",F508&amp;"|"&amp;D508)</f>
        <v/>
      </c>
    </row>
    <row r="509">
      <c r="A509" t="n">
        <v>498</v>
      </c>
      <c r="B509">
        <f>IF(A509&lt;=$B$4,$B$3+A509-1,"")</f>
        <v/>
      </c>
      <c r="C509">
        <f>IF(B509="","",INDEX(D_LOT,B509)&amp;"")</f>
        <v/>
      </c>
      <c r="D509">
        <f>IF(B509="","",INDEX(D_SEQ,B509))</f>
        <v/>
      </c>
      <c r="E509">
        <f>IF(B509="","",IFERROR(VALUE(INDEX(D_VAL,B509)&amp;""),""))</f>
        <v/>
      </c>
      <c r="F509">
        <f>IF(B509="","",F508+(C509&lt;&gt;C508))</f>
        <v/>
      </c>
      <c r="G509">
        <f>IF(B509="","",F509&amp;"|"&amp;D509)</f>
        <v/>
      </c>
    </row>
    <row r="510">
      <c r="A510" t="n">
        <v>499</v>
      </c>
      <c r="B510">
        <f>IF(A510&lt;=$B$4,$B$3+A510-1,"")</f>
        <v/>
      </c>
      <c r="C510">
        <f>IF(B510="","",INDEX(D_LOT,B510)&amp;"")</f>
        <v/>
      </c>
      <c r="D510">
        <f>IF(B510="","",INDEX(D_SEQ,B510))</f>
        <v/>
      </c>
      <c r="E510">
        <f>IF(B510="","",IFERROR(VALUE(INDEX(D_VAL,B510)&amp;""),""))</f>
        <v/>
      </c>
      <c r="F510">
        <f>IF(B510="","",F509+(C510&lt;&gt;C509))</f>
        <v/>
      </c>
      <c r="G510">
        <f>IF(B510="","",F510&amp;"|"&amp;D510)</f>
        <v/>
      </c>
    </row>
    <row r="511">
      <c r="A511" t="n">
        <v>500</v>
      </c>
      <c r="B511">
        <f>IF(A511&lt;=$B$4,$B$3+A511-1,"")</f>
        <v/>
      </c>
      <c r="C511">
        <f>IF(B511="","",INDEX(D_LOT,B511)&amp;"")</f>
        <v/>
      </c>
      <c r="D511">
        <f>IF(B511="","",INDEX(D_SEQ,B511))</f>
        <v/>
      </c>
      <c r="E511">
        <f>IF(B511="","",IFERROR(VALUE(INDEX(D_VAL,B511)&amp;""),""))</f>
        <v/>
      </c>
      <c r="F511">
        <f>IF(B511="","",F510+(C511&lt;&gt;C510))</f>
        <v/>
      </c>
      <c r="G511">
        <f>IF(B511="","",F511&amp;"|"&amp;D511)</f>
        <v/>
      </c>
    </row>
    <row r="512">
      <c r="A512" t="n">
        <v>501</v>
      </c>
      <c r="B512">
        <f>IF(A512&lt;=$B$4,$B$3+A512-1,"")</f>
        <v/>
      </c>
      <c r="C512">
        <f>IF(B512="","",INDEX(D_LOT,B512)&amp;"")</f>
        <v/>
      </c>
      <c r="D512">
        <f>IF(B512="","",INDEX(D_SEQ,B512))</f>
        <v/>
      </c>
      <c r="E512">
        <f>IF(B512="","",IFERROR(VALUE(INDEX(D_VAL,B512)&amp;""),""))</f>
        <v/>
      </c>
      <c r="F512">
        <f>IF(B512="","",F511+(C512&lt;&gt;C511))</f>
        <v/>
      </c>
      <c r="G512">
        <f>IF(B512="","",F512&amp;"|"&amp;D512)</f>
        <v/>
      </c>
    </row>
    <row r="513">
      <c r="A513" t="n">
        <v>502</v>
      </c>
      <c r="B513">
        <f>IF(A513&lt;=$B$4,$B$3+A513-1,"")</f>
        <v/>
      </c>
      <c r="C513">
        <f>IF(B513="","",INDEX(D_LOT,B513)&amp;"")</f>
        <v/>
      </c>
      <c r="D513">
        <f>IF(B513="","",INDEX(D_SEQ,B513))</f>
        <v/>
      </c>
      <c r="E513">
        <f>IF(B513="","",IFERROR(VALUE(INDEX(D_VAL,B513)&amp;""),""))</f>
        <v/>
      </c>
      <c r="F513">
        <f>IF(B513="","",F512+(C513&lt;&gt;C512))</f>
        <v/>
      </c>
      <c r="G513">
        <f>IF(B513="","",F513&amp;"|"&amp;D513)</f>
        <v/>
      </c>
    </row>
    <row r="514">
      <c r="A514" t="n">
        <v>503</v>
      </c>
      <c r="B514">
        <f>IF(A514&lt;=$B$4,$B$3+A514-1,"")</f>
        <v/>
      </c>
      <c r="C514">
        <f>IF(B514="","",INDEX(D_LOT,B514)&amp;"")</f>
        <v/>
      </c>
      <c r="D514">
        <f>IF(B514="","",INDEX(D_SEQ,B514))</f>
        <v/>
      </c>
      <c r="E514">
        <f>IF(B514="","",IFERROR(VALUE(INDEX(D_VAL,B514)&amp;""),""))</f>
        <v/>
      </c>
      <c r="F514">
        <f>IF(B514="","",F513+(C514&lt;&gt;C513))</f>
        <v/>
      </c>
      <c r="G514">
        <f>IF(B514="","",F514&amp;"|"&amp;D514)</f>
        <v/>
      </c>
    </row>
    <row r="515">
      <c r="A515" t="n">
        <v>504</v>
      </c>
      <c r="B515">
        <f>IF(A515&lt;=$B$4,$B$3+A515-1,"")</f>
        <v/>
      </c>
      <c r="C515">
        <f>IF(B515="","",INDEX(D_LOT,B515)&amp;"")</f>
        <v/>
      </c>
      <c r="D515">
        <f>IF(B515="","",INDEX(D_SEQ,B515))</f>
        <v/>
      </c>
      <c r="E515">
        <f>IF(B515="","",IFERROR(VALUE(INDEX(D_VAL,B515)&amp;""),""))</f>
        <v/>
      </c>
      <c r="F515">
        <f>IF(B515="","",F514+(C515&lt;&gt;C514))</f>
        <v/>
      </c>
      <c r="G515">
        <f>IF(B515="","",F515&amp;"|"&amp;D515)</f>
        <v/>
      </c>
    </row>
    <row r="516">
      <c r="A516" t="n">
        <v>505</v>
      </c>
      <c r="B516">
        <f>IF(A516&lt;=$B$4,$B$3+A516-1,"")</f>
        <v/>
      </c>
      <c r="C516">
        <f>IF(B516="","",INDEX(D_LOT,B516)&amp;"")</f>
        <v/>
      </c>
      <c r="D516">
        <f>IF(B516="","",INDEX(D_SEQ,B516))</f>
        <v/>
      </c>
      <c r="E516">
        <f>IF(B516="","",IFERROR(VALUE(INDEX(D_VAL,B516)&amp;""),""))</f>
        <v/>
      </c>
      <c r="F516">
        <f>IF(B516="","",F515+(C516&lt;&gt;C515))</f>
        <v/>
      </c>
      <c r="G516">
        <f>IF(B516="","",F516&amp;"|"&amp;D516)</f>
        <v/>
      </c>
    </row>
    <row r="517">
      <c r="A517" t="n">
        <v>506</v>
      </c>
      <c r="B517">
        <f>IF(A517&lt;=$B$4,$B$3+A517-1,"")</f>
        <v/>
      </c>
      <c r="C517">
        <f>IF(B517="","",INDEX(D_LOT,B517)&amp;"")</f>
        <v/>
      </c>
      <c r="D517">
        <f>IF(B517="","",INDEX(D_SEQ,B517))</f>
        <v/>
      </c>
      <c r="E517">
        <f>IF(B517="","",IFERROR(VALUE(INDEX(D_VAL,B517)&amp;""),""))</f>
        <v/>
      </c>
      <c r="F517">
        <f>IF(B517="","",F516+(C517&lt;&gt;C516))</f>
        <v/>
      </c>
      <c r="G517">
        <f>IF(B517="","",F517&amp;"|"&amp;D517)</f>
        <v/>
      </c>
    </row>
    <row r="518">
      <c r="A518" t="n">
        <v>507</v>
      </c>
      <c r="B518">
        <f>IF(A518&lt;=$B$4,$B$3+A518-1,"")</f>
        <v/>
      </c>
      <c r="C518">
        <f>IF(B518="","",INDEX(D_LOT,B518)&amp;"")</f>
        <v/>
      </c>
      <c r="D518">
        <f>IF(B518="","",INDEX(D_SEQ,B518))</f>
        <v/>
      </c>
      <c r="E518">
        <f>IF(B518="","",IFERROR(VALUE(INDEX(D_VAL,B518)&amp;""),""))</f>
        <v/>
      </c>
      <c r="F518">
        <f>IF(B518="","",F517+(C518&lt;&gt;C517))</f>
        <v/>
      </c>
      <c r="G518">
        <f>IF(B518="","",F518&amp;"|"&amp;D518)</f>
        <v/>
      </c>
    </row>
    <row r="519">
      <c r="A519" t="n">
        <v>508</v>
      </c>
      <c r="B519">
        <f>IF(A519&lt;=$B$4,$B$3+A519-1,"")</f>
        <v/>
      </c>
      <c r="C519">
        <f>IF(B519="","",INDEX(D_LOT,B519)&amp;"")</f>
        <v/>
      </c>
      <c r="D519">
        <f>IF(B519="","",INDEX(D_SEQ,B519))</f>
        <v/>
      </c>
      <c r="E519">
        <f>IF(B519="","",IFERROR(VALUE(INDEX(D_VAL,B519)&amp;""),""))</f>
        <v/>
      </c>
      <c r="F519">
        <f>IF(B519="","",F518+(C519&lt;&gt;C518))</f>
        <v/>
      </c>
      <c r="G519">
        <f>IF(B519="","",F519&amp;"|"&amp;D519)</f>
        <v/>
      </c>
    </row>
    <row r="520">
      <c r="A520" t="n">
        <v>509</v>
      </c>
      <c r="B520">
        <f>IF(A520&lt;=$B$4,$B$3+A520-1,"")</f>
        <v/>
      </c>
      <c r="C520">
        <f>IF(B520="","",INDEX(D_LOT,B520)&amp;"")</f>
        <v/>
      </c>
      <c r="D520">
        <f>IF(B520="","",INDEX(D_SEQ,B520))</f>
        <v/>
      </c>
      <c r="E520">
        <f>IF(B520="","",IFERROR(VALUE(INDEX(D_VAL,B520)&amp;""),""))</f>
        <v/>
      </c>
      <c r="F520">
        <f>IF(B520="","",F519+(C520&lt;&gt;C519))</f>
        <v/>
      </c>
      <c r="G520">
        <f>IF(B520="","",F520&amp;"|"&amp;D520)</f>
        <v/>
      </c>
    </row>
    <row r="521">
      <c r="A521" t="n">
        <v>510</v>
      </c>
      <c r="B521">
        <f>IF(A521&lt;=$B$4,$B$3+A521-1,"")</f>
        <v/>
      </c>
      <c r="C521">
        <f>IF(B521="","",INDEX(D_LOT,B521)&amp;"")</f>
        <v/>
      </c>
      <c r="D521">
        <f>IF(B521="","",INDEX(D_SEQ,B521))</f>
        <v/>
      </c>
      <c r="E521">
        <f>IF(B521="","",IFERROR(VALUE(INDEX(D_VAL,B521)&amp;""),""))</f>
        <v/>
      </c>
      <c r="F521">
        <f>IF(B521="","",F520+(C521&lt;&gt;C520))</f>
        <v/>
      </c>
      <c r="G521">
        <f>IF(B521="","",F521&amp;"|"&amp;D521)</f>
        <v/>
      </c>
    </row>
    <row r="522">
      <c r="A522" t="n">
        <v>511</v>
      </c>
      <c r="B522">
        <f>IF(A522&lt;=$B$4,$B$3+A522-1,"")</f>
        <v/>
      </c>
      <c r="C522">
        <f>IF(B522="","",INDEX(D_LOT,B522)&amp;"")</f>
        <v/>
      </c>
      <c r="D522">
        <f>IF(B522="","",INDEX(D_SEQ,B522))</f>
        <v/>
      </c>
      <c r="E522">
        <f>IF(B522="","",IFERROR(VALUE(INDEX(D_VAL,B522)&amp;""),""))</f>
        <v/>
      </c>
      <c r="F522">
        <f>IF(B522="","",F521+(C522&lt;&gt;C521))</f>
        <v/>
      </c>
      <c r="G522">
        <f>IF(B522="","",F522&amp;"|"&amp;D522)</f>
        <v/>
      </c>
    </row>
    <row r="523">
      <c r="A523" t="n">
        <v>512</v>
      </c>
      <c r="B523">
        <f>IF(A523&lt;=$B$4,$B$3+A523-1,"")</f>
        <v/>
      </c>
      <c r="C523">
        <f>IF(B523="","",INDEX(D_LOT,B523)&amp;"")</f>
        <v/>
      </c>
      <c r="D523">
        <f>IF(B523="","",INDEX(D_SEQ,B523))</f>
        <v/>
      </c>
      <c r="E523">
        <f>IF(B523="","",IFERROR(VALUE(INDEX(D_VAL,B523)&amp;""),""))</f>
        <v/>
      </c>
      <c r="F523">
        <f>IF(B523="","",F522+(C523&lt;&gt;C522))</f>
        <v/>
      </c>
      <c r="G523">
        <f>IF(B523="","",F523&amp;"|"&amp;D523)</f>
        <v/>
      </c>
    </row>
    <row r="524">
      <c r="A524" t="n">
        <v>513</v>
      </c>
      <c r="B524">
        <f>IF(A524&lt;=$B$4,$B$3+A524-1,"")</f>
        <v/>
      </c>
      <c r="C524">
        <f>IF(B524="","",INDEX(D_LOT,B524)&amp;"")</f>
        <v/>
      </c>
      <c r="D524">
        <f>IF(B524="","",INDEX(D_SEQ,B524))</f>
        <v/>
      </c>
      <c r="E524">
        <f>IF(B524="","",IFERROR(VALUE(INDEX(D_VAL,B524)&amp;""),""))</f>
        <v/>
      </c>
      <c r="F524">
        <f>IF(B524="","",F523+(C524&lt;&gt;C523))</f>
        <v/>
      </c>
      <c r="G524">
        <f>IF(B524="","",F524&amp;"|"&amp;D524)</f>
        <v/>
      </c>
    </row>
    <row r="525">
      <c r="A525" t="n">
        <v>514</v>
      </c>
      <c r="B525">
        <f>IF(A525&lt;=$B$4,$B$3+A525-1,"")</f>
        <v/>
      </c>
      <c r="C525">
        <f>IF(B525="","",INDEX(D_LOT,B525)&amp;"")</f>
        <v/>
      </c>
      <c r="D525">
        <f>IF(B525="","",INDEX(D_SEQ,B525))</f>
        <v/>
      </c>
      <c r="E525">
        <f>IF(B525="","",IFERROR(VALUE(INDEX(D_VAL,B525)&amp;""),""))</f>
        <v/>
      </c>
      <c r="F525">
        <f>IF(B525="","",F524+(C525&lt;&gt;C524))</f>
        <v/>
      </c>
      <c r="G525">
        <f>IF(B525="","",F525&amp;"|"&amp;D525)</f>
        <v/>
      </c>
    </row>
    <row r="526">
      <c r="A526" t="n">
        <v>515</v>
      </c>
      <c r="B526">
        <f>IF(A526&lt;=$B$4,$B$3+A526-1,"")</f>
        <v/>
      </c>
      <c r="C526">
        <f>IF(B526="","",INDEX(D_LOT,B526)&amp;"")</f>
        <v/>
      </c>
      <c r="D526">
        <f>IF(B526="","",INDEX(D_SEQ,B526))</f>
        <v/>
      </c>
      <c r="E526">
        <f>IF(B526="","",IFERROR(VALUE(INDEX(D_VAL,B526)&amp;""),""))</f>
        <v/>
      </c>
      <c r="F526">
        <f>IF(B526="","",F525+(C526&lt;&gt;C525))</f>
        <v/>
      </c>
      <c r="G526">
        <f>IF(B526="","",F526&amp;"|"&amp;D526)</f>
        <v/>
      </c>
    </row>
    <row r="527">
      <c r="A527" t="n">
        <v>516</v>
      </c>
      <c r="B527">
        <f>IF(A527&lt;=$B$4,$B$3+A527-1,"")</f>
        <v/>
      </c>
      <c r="C527">
        <f>IF(B527="","",INDEX(D_LOT,B527)&amp;"")</f>
        <v/>
      </c>
      <c r="D527">
        <f>IF(B527="","",INDEX(D_SEQ,B527))</f>
        <v/>
      </c>
      <c r="E527">
        <f>IF(B527="","",IFERROR(VALUE(INDEX(D_VAL,B527)&amp;""),""))</f>
        <v/>
      </c>
      <c r="F527">
        <f>IF(B527="","",F526+(C527&lt;&gt;C526))</f>
        <v/>
      </c>
      <c r="G527">
        <f>IF(B527="","",F527&amp;"|"&amp;D527)</f>
        <v/>
      </c>
    </row>
    <row r="528">
      <c r="A528" t="n">
        <v>517</v>
      </c>
      <c r="B528">
        <f>IF(A528&lt;=$B$4,$B$3+A528-1,"")</f>
        <v/>
      </c>
      <c r="C528">
        <f>IF(B528="","",INDEX(D_LOT,B528)&amp;"")</f>
        <v/>
      </c>
      <c r="D528">
        <f>IF(B528="","",INDEX(D_SEQ,B528))</f>
        <v/>
      </c>
      <c r="E528">
        <f>IF(B528="","",IFERROR(VALUE(INDEX(D_VAL,B528)&amp;""),""))</f>
        <v/>
      </c>
      <c r="F528">
        <f>IF(B528="","",F527+(C528&lt;&gt;C527))</f>
        <v/>
      </c>
      <c r="G528">
        <f>IF(B528="","",F528&amp;"|"&amp;D528)</f>
        <v/>
      </c>
    </row>
    <row r="529">
      <c r="A529" t="n">
        <v>518</v>
      </c>
      <c r="B529">
        <f>IF(A529&lt;=$B$4,$B$3+A529-1,"")</f>
        <v/>
      </c>
      <c r="C529">
        <f>IF(B529="","",INDEX(D_LOT,B529)&amp;"")</f>
        <v/>
      </c>
      <c r="D529">
        <f>IF(B529="","",INDEX(D_SEQ,B529))</f>
        <v/>
      </c>
      <c r="E529">
        <f>IF(B529="","",IFERROR(VALUE(INDEX(D_VAL,B529)&amp;""),""))</f>
        <v/>
      </c>
      <c r="F529">
        <f>IF(B529="","",F528+(C529&lt;&gt;C528))</f>
        <v/>
      </c>
      <c r="G529">
        <f>IF(B529="","",F529&amp;"|"&amp;D529)</f>
        <v/>
      </c>
    </row>
    <row r="530">
      <c r="A530" t="n">
        <v>519</v>
      </c>
      <c r="B530">
        <f>IF(A530&lt;=$B$4,$B$3+A530-1,"")</f>
        <v/>
      </c>
      <c r="C530">
        <f>IF(B530="","",INDEX(D_LOT,B530)&amp;"")</f>
        <v/>
      </c>
      <c r="D530">
        <f>IF(B530="","",INDEX(D_SEQ,B530))</f>
        <v/>
      </c>
      <c r="E530">
        <f>IF(B530="","",IFERROR(VALUE(INDEX(D_VAL,B530)&amp;""),""))</f>
        <v/>
      </c>
      <c r="F530">
        <f>IF(B530="","",F529+(C530&lt;&gt;C529))</f>
        <v/>
      </c>
      <c r="G530">
        <f>IF(B530="","",F530&amp;"|"&amp;D530)</f>
        <v/>
      </c>
    </row>
    <row r="531">
      <c r="A531" t="n">
        <v>520</v>
      </c>
      <c r="B531">
        <f>IF(A531&lt;=$B$4,$B$3+A531-1,"")</f>
        <v/>
      </c>
      <c r="C531">
        <f>IF(B531="","",INDEX(D_LOT,B531)&amp;"")</f>
        <v/>
      </c>
      <c r="D531">
        <f>IF(B531="","",INDEX(D_SEQ,B531))</f>
        <v/>
      </c>
      <c r="E531">
        <f>IF(B531="","",IFERROR(VALUE(INDEX(D_VAL,B531)&amp;""),""))</f>
        <v/>
      </c>
      <c r="F531">
        <f>IF(B531="","",F530+(C531&lt;&gt;C530))</f>
        <v/>
      </c>
      <c r="G531">
        <f>IF(B531="","",F531&amp;"|"&amp;D531)</f>
        <v/>
      </c>
    </row>
    <row r="532">
      <c r="A532" t="n">
        <v>521</v>
      </c>
      <c r="B532">
        <f>IF(A532&lt;=$B$4,$B$3+A532-1,"")</f>
        <v/>
      </c>
      <c r="C532">
        <f>IF(B532="","",INDEX(D_LOT,B532)&amp;"")</f>
        <v/>
      </c>
      <c r="D532">
        <f>IF(B532="","",INDEX(D_SEQ,B532))</f>
        <v/>
      </c>
      <c r="E532">
        <f>IF(B532="","",IFERROR(VALUE(INDEX(D_VAL,B532)&amp;""),""))</f>
        <v/>
      </c>
      <c r="F532">
        <f>IF(B532="","",F531+(C532&lt;&gt;C531))</f>
        <v/>
      </c>
      <c r="G532">
        <f>IF(B532="","",F532&amp;"|"&amp;D532)</f>
        <v/>
      </c>
    </row>
    <row r="533">
      <c r="A533" t="n">
        <v>522</v>
      </c>
      <c r="B533">
        <f>IF(A533&lt;=$B$4,$B$3+A533-1,"")</f>
        <v/>
      </c>
      <c r="C533">
        <f>IF(B533="","",INDEX(D_LOT,B533)&amp;"")</f>
        <v/>
      </c>
      <c r="D533">
        <f>IF(B533="","",INDEX(D_SEQ,B533))</f>
        <v/>
      </c>
      <c r="E533">
        <f>IF(B533="","",IFERROR(VALUE(INDEX(D_VAL,B533)&amp;""),""))</f>
        <v/>
      </c>
      <c r="F533">
        <f>IF(B533="","",F532+(C533&lt;&gt;C532))</f>
        <v/>
      </c>
      <c r="G533">
        <f>IF(B533="","",F533&amp;"|"&amp;D533)</f>
        <v/>
      </c>
    </row>
    <row r="534">
      <c r="A534" t="n">
        <v>523</v>
      </c>
      <c r="B534">
        <f>IF(A534&lt;=$B$4,$B$3+A534-1,"")</f>
        <v/>
      </c>
      <c r="C534">
        <f>IF(B534="","",INDEX(D_LOT,B534)&amp;"")</f>
        <v/>
      </c>
      <c r="D534">
        <f>IF(B534="","",INDEX(D_SEQ,B534))</f>
        <v/>
      </c>
      <c r="E534">
        <f>IF(B534="","",IFERROR(VALUE(INDEX(D_VAL,B534)&amp;""),""))</f>
        <v/>
      </c>
      <c r="F534">
        <f>IF(B534="","",F533+(C534&lt;&gt;C533))</f>
        <v/>
      </c>
      <c r="G534">
        <f>IF(B534="","",F534&amp;"|"&amp;D534)</f>
        <v/>
      </c>
    </row>
    <row r="535">
      <c r="A535" t="n">
        <v>524</v>
      </c>
      <c r="B535">
        <f>IF(A535&lt;=$B$4,$B$3+A535-1,"")</f>
        <v/>
      </c>
      <c r="C535">
        <f>IF(B535="","",INDEX(D_LOT,B535)&amp;"")</f>
        <v/>
      </c>
      <c r="D535">
        <f>IF(B535="","",INDEX(D_SEQ,B535))</f>
        <v/>
      </c>
      <c r="E535">
        <f>IF(B535="","",IFERROR(VALUE(INDEX(D_VAL,B535)&amp;""),""))</f>
        <v/>
      </c>
      <c r="F535">
        <f>IF(B535="","",F534+(C535&lt;&gt;C534))</f>
        <v/>
      </c>
      <c r="G535">
        <f>IF(B535="","",F535&amp;"|"&amp;D535)</f>
        <v/>
      </c>
    </row>
    <row r="536">
      <c r="A536" t="n">
        <v>525</v>
      </c>
      <c r="B536">
        <f>IF(A536&lt;=$B$4,$B$3+A536-1,"")</f>
        <v/>
      </c>
      <c r="C536">
        <f>IF(B536="","",INDEX(D_LOT,B536)&amp;"")</f>
        <v/>
      </c>
      <c r="D536">
        <f>IF(B536="","",INDEX(D_SEQ,B536))</f>
        <v/>
      </c>
      <c r="E536">
        <f>IF(B536="","",IFERROR(VALUE(INDEX(D_VAL,B536)&amp;""),""))</f>
        <v/>
      </c>
      <c r="F536">
        <f>IF(B536="","",F535+(C536&lt;&gt;C535))</f>
        <v/>
      </c>
      <c r="G536">
        <f>IF(B536="","",F536&amp;"|"&amp;D536)</f>
        <v/>
      </c>
    </row>
    <row r="537">
      <c r="A537" t="n">
        <v>526</v>
      </c>
      <c r="B537">
        <f>IF(A537&lt;=$B$4,$B$3+A537-1,"")</f>
        <v/>
      </c>
      <c r="C537">
        <f>IF(B537="","",INDEX(D_LOT,B537)&amp;"")</f>
        <v/>
      </c>
      <c r="D537">
        <f>IF(B537="","",INDEX(D_SEQ,B537))</f>
        <v/>
      </c>
      <c r="E537">
        <f>IF(B537="","",IFERROR(VALUE(INDEX(D_VAL,B537)&amp;""),""))</f>
        <v/>
      </c>
      <c r="F537">
        <f>IF(B537="","",F536+(C537&lt;&gt;C536))</f>
        <v/>
      </c>
      <c r="G537">
        <f>IF(B537="","",F537&amp;"|"&amp;D537)</f>
        <v/>
      </c>
    </row>
    <row r="538">
      <c r="A538" t="n">
        <v>527</v>
      </c>
      <c r="B538">
        <f>IF(A538&lt;=$B$4,$B$3+A538-1,"")</f>
        <v/>
      </c>
      <c r="C538">
        <f>IF(B538="","",INDEX(D_LOT,B538)&amp;"")</f>
        <v/>
      </c>
      <c r="D538">
        <f>IF(B538="","",INDEX(D_SEQ,B538))</f>
        <v/>
      </c>
      <c r="E538">
        <f>IF(B538="","",IFERROR(VALUE(INDEX(D_VAL,B538)&amp;""),""))</f>
        <v/>
      </c>
      <c r="F538">
        <f>IF(B538="","",F537+(C538&lt;&gt;C537))</f>
        <v/>
      </c>
      <c r="G538">
        <f>IF(B538="","",F538&amp;"|"&amp;D538)</f>
        <v/>
      </c>
    </row>
    <row r="539">
      <c r="A539" t="n">
        <v>528</v>
      </c>
      <c r="B539">
        <f>IF(A539&lt;=$B$4,$B$3+A539-1,"")</f>
        <v/>
      </c>
      <c r="C539">
        <f>IF(B539="","",INDEX(D_LOT,B539)&amp;"")</f>
        <v/>
      </c>
      <c r="D539">
        <f>IF(B539="","",INDEX(D_SEQ,B539))</f>
        <v/>
      </c>
      <c r="E539">
        <f>IF(B539="","",IFERROR(VALUE(INDEX(D_VAL,B539)&amp;""),""))</f>
        <v/>
      </c>
      <c r="F539">
        <f>IF(B539="","",F538+(C539&lt;&gt;C538))</f>
        <v/>
      </c>
      <c r="G539">
        <f>IF(B539="","",F539&amp;"|"&amp;D539)</f>
        <v/>
      </c>
    </row>
    <row r="540">
      <c r="A540" t="n">
        <v>529</v>
      </c>
      <c r="B540">
        <f>IF(A540&lt;=$B$4,$B$3+A540-1,"")</f>
        <v/>
      </c>
      <c r="C540">
        <f>IF(B540="","",INDEX(D_LOT,B540)&amp;"")</f>
        <v/>
      </c>
      <c r="D540">
        <f>IF(B540="","",INDEX(D_SEQ,B540))</f>
        <v/>
      </c>
      <c r="E540">
        <f>IF(B540="","",IFERROR(VALUE(INDEX(D_VAL,B540)&amp;""),""))</f>
        <v/>
      </c>
      <c r="F540">
        <f>IF(B540="","",F539+(C540&lt;&gt;C539))</f>
        <v/>
      </c>
      <c r="G540">
        <f>IF(B540="","",F540&amp;"|"&amp;D540)</f>
        <v/>
      </c>
    </row>
    <row r="541">
      <c r="A541" t="n">
        <v>530</v>
      </c>
      <c r="B541">
        <f>IF(A541&lt;=$B$4,$B$3+A541-1,"")</f>
        <v/>
      </c>
      <c r="C541">
        <f>IF(B541="","",INDEX(D_LOT,B541)&amp;"")</f>
        <v/>
      </c>
      <c r="D541">
        <f>IF(B541="","",INDEX(D_SEQ,B541))</f>
        <v/>
      </c>
      <c r="E541">
        <f>IF(B541="","",IFERROR(VALUE(INDEX(D_VAL,B541)&amp;""),""))</f>
        <v/>
      </c>
      <c r="F541">
        <f>IF(B541="","",F540+(C541&lt;&gt;C540))</f>
        <v/>
      </c>
      <c r="G541">
        <f>IF(B541="","",F541&amp;"|"&amp;D541)</f>
        <v/>
      </c>
    </row>
    <row r="542">
      <c r="A542" t="n">
        <v>531</v>
      </c>
      <c r="B542">
        <f>IF(A542&lt;=$B$4,$B$3+A542-1,"")</f>
        <v/>
      </c>
      <c r="C542">
        <f>IF(B542="","",INDEX(D_LOT,B542)&amp;"")</f>
        <v/>
      </c>
      <c r="D542">
        <f>IF(B542="","",INDEX(D_SEQ,B542))</f>
        <v/>
      </c>
      <c r="E542">
        <f>IF(B542="","",IFERROR(VALUE(INDEX(D_VAL,B542)&amp;""),""))</f>
        <v/>
      </c>
      <c r="F542">
        <f>IF(B542="","",F541+(C542&lt;&gt;C541))</f>
        <v/>
      </c>
      <c r="G542">
        <f>IF(B542="","",F542&amp;"|"&amp;D542)</f>
        <v/>
      </c>
    </row>
    <row r="543">
      <c r="A543" t="n">
        <v>532</v>
      </c>
      <c r="B543">
        <f>IF(A543&lt;=$B$4,$B$3+A543-1,"")</f>
        <v/>
      </c>
      <c r="C543">
        <f>IF(B543="","",INDEX(D_LOT,B543)&amp;"")</f>
        <v/>
      </c>
      <c r="D543">
        <f>IF(B543="","",INDEX(D_SEQ,B543))</f>
        <v/>
      </c>
      <c r="E543">
        <f>IF(B543="","",IFERROR(VALUE(INDEX(D_VAL,B543)&amp;""),""))</f>
        <v/>
      </c>
      <c r="F543">
        <f>IF(B543="","",F542+(C543&lt;&gt;C542))</f>
        <v/>
      </c>
      <c r="G543">
        <f>IF(B543="","",F543&amp;"|"&amp;D543)</f>
        <v/>
      </c>
    </row>
    <row r="544">
      <c r="A544" t="n">
        <v>533</v>
      </c>
      <c r="B544">
        <f>IF(A544&lt;=$B$4,$B$3+A544-1,"")</f>
        <v/>
      </c>
      <c r="C544">
        <f>IF(B544="","",INDEX(D_LOT,B544)&amp;"")</f>
        <v/>
      </c>
      <c r="D544">
        <f>IF(B544="","",INDEX(D_SEQ,B544))</f>
        <v/>
      </c>
      <c r="E544">
        <f>IF(B544="","",IFERROR(VALUE(INDEX(D_VAL,B544)&amp;""),""))</f>
        <v/>
      </c>
      <c r="F544">
        <f>IF(B544="","",F543+(C544&lt;&gt;C543))</f>
        <v/>
      </c>
      <c r="G544">
        <f>IF(B544="","",F544&amp;"|"&amp;D544)</f>
        <v/>
      </c>
    </row>
    <row r="545">
      <c r="A545" t="n">
        <v>534</v>
      </c>
      <c r="B545">
        <f>IF(A545&lt;=$B$4,$B$3+A545-1,"")</f>
        <v/>
      </c>
      <c r="C545">
        <f>IF(B545="","",INDEX(D_LOT,B545)&amp;"")</f>
        <v/>
      </c>
      <c r="D545">
        <f>IF(B545="","",INDEX(D_SEQ,B545))</f>
        <v/>
      </c>
      <c r="E545">
        <f>IF(B545="","",IFERROR(VALUE(INDEX(D_VAL,B545)&amp;""),""))</f>
        <v/>
      </c>
      <c r="F545">
        <f>IF(B545="","",F544+(C545&lt;&gt;C544))</f>
        <v/>
      </c>
      <c r="G545">
        <f>IF(B545="","",F545&amp;"|"&amp;D545)</f>
        <v/>
      </c>
    </row>
    <row r="546">
      <c r="A546" t="n">
        <v>535</v>
      </c>
      <c r="B546">
        <f>IF(A546&lt;=$B$4,$B$3+A546-1,"")</f>
        <v/>
      </c>
      <c r="C546">
        <f>IF(B546="","",INDEX(D_LOT,B546)&amp;"")</f>
        <v/>
      </c>
      <c r="D546">
        <f>IF(B546="","",INDEX(D_SEQ,B546))</f>
        <v/>
      </c>
      <c r="E546">
        <f>IF(B546="","",IFERROR(VALUE(INDEX(D_VAL,B546)&amp;""),""))</f>
        <v/>
      </c>
      <c r="F546">
        <f>IF(B546="","",F545+(C546&lt;&gt;C545))</f>
        <v/>
      </c>
      <c r="G546">
        <f>IF(B546="","",F546&amp;"|"&amp;D546)</f>
        <v/>
      </c>
    </row>
    <row r="547">
      <c r="A547" t="n">
        <v>536</v>
      </c>
      <c r="B547">
        <f>IF(A547&lt;=$B$4,$B$3+A547-1,"")</f>
        <v/>
      </c>
      <c r="C547">
        <f>IF(B547="","",INDEX(D_LOT,B547)&amp;"")</f>
        <v/>
      </c>
      <c r="D547">
        <f>IF(B547="","",INDEX(D_SEQ,B547))</f>
        <v/>
      </c>
      <c r="E547">
        <f>IF(B547="","",IFERROR(VALUE(INDEX(D_VAL,B547)&amp;""),""))</f>
        <v/>
      </c>
      <c r="F547">
        <f>IF(B547="","",F546+(C547&lt;&gt;C546))</f>
        <v/>
      </c>
      <c r="G547">
        <f>IF(B547="","",F547&amp;"|"&amp;D547)</f>
        <v/>
      </c>
    </row>
    <row r="548">
      <c r="A548" t="n">
        <v>537</v>
      </c>
      <c r="B548">
        <f>IF(A548&lt;=$B$4,$B$3+A548-1,"")</f>
        <v/>
      </c>
      <c r="C548">
        <f>IF(B548="","",INDEX(D_LOT,B548)&amp;"")</f>
        <v/>
      </c>
      <c r="D548">
        <f>IF(B548="","",INDEX(D_SEQ,B548))</f>
        <v/>
      </c>
      <c r="E548">
        <f>IF(B548="","",IFERROR(VALUE(INDEX(D_VAL,B548)&amp;""),""))</f>
        <v/>
      </c>
      <c r="F548">
        <f>IF(B548="","",F547+(C548&lt;&gt;C547))</f>
        <v/>
      </c>
      <c r="G548">
        <f>IF(B548="","",F548&amp;"|"&amp;D548)</f>
        <v/>
      </c>
    </row>
    <row r="549">
      <c r="A549" t="n">
        <v>538</v>
      </c>
      <c r="B549">
        <f>IF(A549&lt;=$B$4,$B$3+A549-1,"")</f>
        <v/>
      </c>
      <c r="C549">
        <f>IF(B549="","",INDEX(D_LOT,B549)&amp;"")</f>
        <v/>
      </c>
      <c r="D549">
        <f>IF(B549="","",INDEX(D_SEQ,B549))</f>
        <v/>
      </c>
      <c r="E549">
        <f>IF(B549="","",IFERROR(VALUE(INDEX(D_VAL,B549)&amp;""),""))</f>
        <v/>
      </c>
      <c r="F549">
        <f>IF(B549="","",F548+(C549&lt;&gt;C548))</f>
        <v/>
      </c>
      <c r="G549">
        <f>IF(B549="","",F549&amp;"|"&amp;D549)</f>
        <v/>
      </c>
    </row>
    <row r="550">
      <c r="A550" t="n">
        <v>539</v>
      </c>
      <c r="B550">
        <f>IF(A550&lt;=$B$4,$B$3+A550-1,"")</f>
        <v/>
      </c>
      <c r="C550">
        <f>IF(B550="","",INDEX(D_LOT,B550)&amp;"")</f>
        <v/>
      </c>
      <c r="D550">
        <f>IF(B550="","",INDEX(D_SEQ,B550))</f>
        <v/>
      </c>
      <c r="E550">
        <f>IF(B550="","",IFERROR(VALUE(INDEX(D_VAL,B550)&amp;""),""))</f>
        <v/>
      </c>
      <c r="F550">
        <f>IF(B550="","",F549+(C550&lt;&gt;C549))</f>
        <v/>
      </c>
      <c r="G550">
        <f>IF(B550="","",F550&amp;"|"&amp;D550)</f>
        <v/>
      </c>
    </row>
    <row r="551">
      <c r="A551" t="n">
        <v>540</v>
      </c>
      <c r="B551">
        <f>IF(A551&lt;=$B$4,$B$3+A551-1,"")</f>
        <v/>
      </c>
      <c r="C551">
        <f>IF(B551="","",INDEX(D_LOT,B551)&amp;"")</f>
        <v/>
      </c>
      <c r="D551">
        <f>IF(B551="","",INDEX(D_SEQ,B551))</f>
        <v/>
      </c>
      <c r="E551">
        <f>IF(B551="","",IFERROR(VALUE(INDEX(D_VAL,B551)&amp;""),""))</f>
        <v/>
      </c>
      <c r="F551">
        <f>IF(B551="","",F550+(C551&lt;&gt;C550))</f>
        <v/>
      </c>
      <c r="G551">
        <f>IF(B551="","",F551&amp;"|"&amp;D551)</f>
        <v/>
      </c>
    </row>
    <row r="552">
      <c r="A552" t="n">
        <v>541</v>
      </c>
      <c r="B552">
        <f>IF(A552&lt;=$B$4,$B$3+A552-1,"")</f>
        <v/>
      </c>
      <c r="C552">
        <f>IF(B552="","",INDEX(D_LOT,B552)&amp;"")</f>
        <v/>
      </c>
      <c r="D552">
        <f>IF(B552="","",INDEX(D_SEQ,B552))</f>
        <v/>
      </c>
      <c r="E552">
        <f>IF(B552="","",IFERROR(VALUE(INDEX(D_VAL,B552)&amp;""),""))</f>
        <v/>
      </c>
      <c r="F552">
        <f>IF(B552="","",F551+(C552&lt;&gt;C551))</f>
        <v/>
      </c>
      <c r="G552">
        <f>IF(B552="","",F552&amp;"|"&amp;D552)</f>
        <v/>
      </c>
    </row>
    <row r="553">
      <c r="A553" t="n">
        <v>542</v>
      </c>
      <c r="B553">
        <f>IF(A553&lt;=$B$4,$B$3+A553-1,"")</f>
        <v/>
      </c>
      <c r="C553">
        <f>IF(B553="","",INDEX(D_LOT,B553)&amp;"")</f>
        <v/>
      </c>
      <c r="D553">
        <f>IF(B553="","",INDEX(D_SEQ,B553))</f>
        <v/>
      </c>
      <c r="E553">
        <f>IF(B553="","",IFERROR(VALUE(INDEX(D_VAL,B553)&amp;""),""))</f>
        <v/>
      </c>
      <c r="F553">
        <f>IF(B553="","",F552+(C553&lt;&gt;C552))</f>
        <v/>
      </c>
      <c r="G553">
        <f>IF(B553="","",F553&amp;"|"&amp;D553)</f>
        <v/>
      </c>
    </row>
    <row r="554">
      <c r="A554" t="n">
        <v>543</v>
      </c>
      <c r="B554">
        <f>IF(A554&lt;=$B$4,$B$3+A554-1,"")</f>
        <v/>
      </c>
      <c r="C554">
        <f>IF(B554="","",INDEX(D_LOT,B554)&amp;"")</f>
        <v/>
      </c>
      <c r="D554">
        <f>IF(B554="","",INDEX(D_SEQ,B554))</f>
        <v/>
      </c>
      <c r="E554">
        <f>IF(B554="","",IFERROR(VALUE(INDEX(D_VAL,B554)&amp;""),""))</f>
        <v/>
      </c>
      <c r="F554">
        <f>IF(B554="","",F553+(C554&lt;&gt;C553))</f>
        <v/>
      </c>
      <c r="G554">
        <f>IF(B554="","",F554&amp;"|"&amp;D554)</f>
        <v/>
      </c>
    </row>
    <row r="555">
      <c r="A555" t="n">
        <v>544</v>
      </c>
      <c r="B555">
        <f>IF(A555&lt;=$B$4,$B$3+A555-1,"")</f>
        <v/>
      </c>
      <c r="C555">
        <f>IF(B555="","",INDEX(D_LOT,B555)&amp;"")</f>
        <v/>
      </c>
      <c r="D555">
        <f>IF(B555="","",INDEX(D_SEQ,B555))</f>
        <v/>
      </c>
      <c r="E555">
        <f>IF(B555="","",IFERROR(VALUE(INDEX(D_VAL,B555)&amp;""),""))</f>
        <v/>
      </c>
      <c r="F555">
        <f>IF(B555="","",F554+(C555&lt;&gt;C554))</f>
        <v/>
      </c>
      <c r="G555">
        <f>IF(B555="","",F555&amp;"|"&amp;D555)</f>
        <v/>
      </c>
    </row>
    <row r="556">
      <c r="A556" t="n">
        <v>545</v>
      </c>
      <c r="B556">
        <f>IF(A556&lt;=$B$4,$B$3+A556-1,"")</f>
        <v/>
      </c>
      <c r="C556">
        <f>IF(B556="","",INDEX(D_LOT,B556)&amp;"")</f>
        <v/>
      </c>
      <c r="D556">
        <f>IF(B556="","",INDEX(D_SEQ,B556))</f>
        <v/>
      </c>
      <c r="E556">
        <f>IF(B556="","",IFERROR(VALUE(INDEX(D_VAL,B556)&amp;""),""))</f>
        <v/>
      </c>
      <c r="F556">
        <f>IF(B556="","",F555+(C556&lt;&gt;C555))</f>
        <v/>
      </c>
      <c r="G556">
        <f>IF(B556="","",F556&amp;"|"&amp;D556)</f>
        <v/>
      </c>
    </row>
    <row r="557">
      <c r="A557" t="n">
        <v>546</v>
      </c>
      <c r="B557">
        <f>IF(A557&lt;=$B$4,$B$3+A557-1,"")</f>
        <v/>
      </c>
      <c r="C557">
        <f>IF(B557="","",INDEX(D_LOT,B557)&amp;"")</f>
        <v/>
      </c>
      <c r="D557">
        <f>IF(B557="","",INDEX(D_SEQ,B557))</f>
        <v/>
      </c>
      <c r="E557">
        <f>IF(B557="","",IFERROR(VALUE(INDEX(D_VAL,B557)&amp;""),""))</f>
        <v/>
      </c>
      <c r="F557">
        <f>IF(B557="","",F556+(C557&lt;&gt;C556))</f>
        <v/>
      </c>
      <c r="G557">
        <f>IF(B557="","",F557&amp;"|"&amp;D557)</f>
        <v/>
      </c>
    </row>
    <row r="558">
      <c r="A558" t="n">
        <v>547</v>
      </c>
      <c r="B558">
        <f>IF(A558&lt;=$B$4,$B$3+A558-1,"")</f>
        <v/>
      </c>
      <c r="C558">
        <f>IF(B558="","",INDEX(D_LOT,B558)&amp;"")</f>
        <v/>
      </c>
      <c r="D558">
        <f>IF(B558="","",INDEX(D_SEQ,B558))</f>
        <v/>
      </c>
      <c r="E558">
        <f>IF(B558="","",IFERROR(VALUE(INDEX(D_VAL,B558)&amp;""),""))</f>
        <v/>
      </c>
      <c r="F558">
        <f>IF(B558="","",F557+(C558&lt;&gt;C557))</f>
        <v/>
      </c>
      <c r="G558">
        <f>IF(B558="","",F558&amp;"|"&amp;D558)</f>
        <v/>
      </c>
    </row>
    <row r="559">
      <c r="A559" t="n">
        <v>548</v>
      </c>
      <c r="B559">
        <f>IF(A559&lt;=$B$4,$B$3+A559-1,"")</f>
        <v/>
      </c>
      <c r="C559">
        <f>IF(B559="","",INDEX(D_LOT,B559)&amp;"")</f>
        <v/>
      </c>
      <c r="D559">
        <f>IF(B559="","",INDEX(D_SEQ,B559))</f>
        <v/>
      </c>
      <c r="E559">
        <f>IF(B559="","",IFERROR(VALUE(INDEX(D_VAL,B559)&amp;""),""))</f>
        <v/>
      </c>
      <c r="F559">
        <f>IF(B559="","",F558+(C559&lt;&gt;C558))</f>
        <v/>
      </c>
      <c r="G559">
        <f>IF(B559="","",F559&amp;"|"&amp;D559)</f>
        <v/>
      </c>
    </row>
    <row r="560">
      <c r="A560" t="n">
        <v>549</v>
      </c>
      <c r="B560">
        <f>IF(A560&lt;=$B$4,$B$3+A560-1,"")</f>
        <v/>
      </c>
      <c r="C560">
        <f>IF(B560="","",INDEX(D_LOT,B560)&amp;"")</f>
        <v/>
      </c>
      <c r="D560">
        <f>IF(B560="","",INDEX(D_SEQ,B560))</f>
        <v/>
      </c>
      <c r="E560">
        <f>IF(B560="","",IFERROR(VALUE(INDEX(D_VAL,B560)&amp;""),""))</f>
        <v/>
      </c>
      <c r="F560">
        <f>IF(B560="","",F559+(C560&lt;&gt;C559))</f>
        <v/>
      </c>
      <c r="G560">
        <f>IF(B560="","",F560&amp;"|"&amp;D560)</f>
        <v/>
      </c>
    </row>
    <row r="561">
      <c r="A561" t="n">
        <v>550</v>
      </c>
      <c r="B561">
        <f>IF(A561&lt;=$B$4,$B$3+A561-1,"")</f>
        <v/>
      </c>
      <c r="C561">
        <f>IF(B561="","",INDEX(D_LOT,B561)&amp;"")</f>
        <v/>
      </c>
      <c r="D561">
        <f>IF(B561="","",INDEX(D_SEQ,B561))</f>
        <v/>
      </c>
      <c r="E561">
        <f>IF(B561="","",IFERROR(VALUE(INDEX(D_VAL,B561)&amp;""),""))</f>
        <v/>
      </c>
      <c r="F561">
        <f>IF(B561="","",F560+(C561&lt;&gt;C560))</f>
        <v/>
      </c>
      <c r="G561">
        <f>IF(B561="","",F561&amp;"|"&amp;D561)</f>
        <v/>
      </c>
    </row>
    <row r="562">
      <c r="A562" t="n">
        <v>551</v>
      </c>
      <c r="B562">
        <f>IF(A562&lt;=$B$4,$B$3+A562-1,"")</f>
        <v/>
      </c>
      <c r="C562">
        <f>IF(B562="","",INDEX(D_LOT,B562)&amp;"")</f>
        <v/>
      </c>
      <c r="D562">
        <f>IF(B562="","",INDEX(D_SEQ,B562))</f>
        <v/>
      </c>
      <c r="E562">
        <f>IF(B562="","",IFERROR(VALUE(INDEX(D_VAL,B562)&amp;""),""))</f>
        <v/>
      </c>
      <c r="F562">
        <f>IF(B562="","",F561+(C562&lt;&gt;C561))</f>
        <v/>
      </c>
      <c r="G562">
        <f>IF(B562="","",F562&amp;"|"&amp;D562)</f>
        <v/>
      </c>
    </row>
    <row r="563">
      <c r="A563" t="n">
        <v>552</v>
      </c>
      <c r="B563">
        <f>IF(A563&lt;=$B$4,$B$3+A563-1,"")</f>
        <v/>
      </c>
      <c r="C563">
        <f>IF(B563="","",INDEX(D_LOT,B563)&amp;"")</f>
        <v/>
      </c>
      <c r="D563">
        <f>IF(B563="","",INDEX(D_SEQ,B563))</f>
        <v/>
      </c>
      <c r="E563">
        <f>IF(B563="","",IFERROR(VALUE(INDEX(D_VAL,B563)&amp;""),""))</f>
        <v/>
      </c>
      <c r="F563">
        <f>IF(B563="","",F562+(C563&lt;&gt;C562))</f>
        <v/>
      </c>
      <c r="G563">
        <f>IF(B563="","",F563&amp;"|"&amp;D563)</f>
        <v/>
      </c>
    </row>
    <row r="564">
      <c r="A564" t="n">
        <v>553</v>
      </c>
      <c r="B564">
        <f>IF(A564&lt;=$B$4,$B$3+A564-1,"")</f>
        <v/>
      </c>
      <c r="C564">
        <f>IF(B564="","",INDEX(D_LOT,B564)&amp;"")</f>
        <v/>
      </c>
      <c r="D564">
        <f>IF(B564="","",INDEX(D_SEQ,B564))</f>
        <v/>
      </c>
      <c r="E564">
        <f>IF(B564="","",IFERROR(VALUE(INDEX(D_VAL,B564)&amp;""),""))</f>
        <v/>
      </c>
      <c r="F564">
        <f>IF(B564="","",F563+(C564&lt;&gt;C563))</f>
        <v/>
      </c>
      <c r="G564">
        <f>IF(B564="","",F564&amp;"|"&amp;D564)</f>
        <v/>
      </c>
    </row>
    <row r="565">
      <c r="A565" t="n">
        <v>554</v>
      </c>
      <c r="B565">
        <f>IF(A565&lt;=$B$4,$B$3+A565-1,"")</f>
        <v/>
      </c>
      <c r="C565">
        <f>IF(B565="","",INDEX(D_LOT,B565)&amp;"")</f>
        <v/>
      </c>
      <c r="D565">
        <f>IF(B565="","",INDEX(D_SEQ,B565))</f>
        <v/>
      </c>
      <c r="E565">
        <f>IF(B565="","",IFERROR(VALUE(INDEX(D_VAL,B565)&amp;""),""))</f>
        <v/>
      </c>
      <c r="F565">
        <f>IF(B565="","",F564+(C565&lt;&gt;C564))</f>
        <v/>
      </c>
      <c r="G565">
        <f>IF(B565="","",F565&amp;"|"&amp;D565)</f>
        <v/>
      </c>
    </row>
    <row r="566">
      <c r="A566" t="n">
        <v>555</v>
      </c>
      <c r="B566">
        <f>IF(A566&lt;=$B$4,$B$3+A566-1,"")</f>
        <v/>
      </c>
      <c r="C566">
        <f>IF(B566="","",INDEX(D_LOT,B566)&amp;"")</f>
        <v/>
      </c>
      <c r="D566">
        <f>IF(B566="","",INDEX(D_SEQ,B566))</f>
        <v/>
      </c>
      <c r="E566">
        <f>IF(B566="","",IFERROR(VALUE(INDEX(D_VAL,B566)&amp;""),""))</f>
        <v/>
      </c>
      <c r="F566">
        <f>IF(B566="","",F565+(C566&lt;&gt;C565))</f>
        <v/>
      </c>
      <c r="G566">
        <f>IF(B566="","",F566&amp;"|"&amp;D566)</f>
        <v/>
      </c>
    </row>
    <row r="567">
      <c r="A567" t="n">
        <v>556</v>
      </c>
      <c r="B567">
        <f>IF(A567&lt;=$B$4,$B$3+A567-1,"")</f>
        <v/>
      </c>
      <c r="C567">
        <f>IF(B567="","",INDEX(D_LOT,B567)&amp;"")</f>
        <v/>
      </c>
      <c r="D567">
        <f>IF(B567="","",INDEX(D_SEQ,B567))</f>
        <v/>
      </c>
      <c r="E567">
        <f>IF(B567="","",IFERROR(VALUE(INDEX(D_VAL,B567)&amp;""),""))</f>
        <v/>
      </c>
      <c r="F567">
        <f>IF(B567="","",F566+(C567&lt;&gt;C566))</f>
        <v/>
      </c>
      <c r="G567">
        <f>IF(B567="","",F567&amp;"|"&amp;D567)</f>
        <v/>
      </c>
    </row>
    <row r="568">
      <c r="A568" t="n">
        <v>557</v>
      </c>
      <c r="B568">
        <f>IF(A568&lt;=$B$4,$B$3+A568-1,"")</f>
        <v/>
      </c>
      <c r="C568">
        <f>IF(B568="","",INDEX(D_LOT,B568)&amp;"")</f>
        <v/>
      </c>
      <c r="D568">
        <f>IF(B568="","",INDEX(D_SEQ,B568))</f>
        <v/>
      </c>
      <c r="E568">
        <f>IF(B568="","",IFERROR(VALUE(INDEX(D_VAL,B568)&amp;""),""))</f>
        <v/>
      </c>
      <c r="F568">
        <f>IF(B568="","",F567+(C568&lt;&gt;C567))</f>
        <v/>
      </c>
      <c r="G568">
        <f>IF(B568="","",F568&amp;"|"&amp;D568)</f>
        <v/>
      </c>
    </row>
    <row r="569">
      <c r="A569" t="n">
        <v>558</v>
      </c>
      <c r="B569">
        <f>IF(A569&lt;=$B$4,$B$3+A569-1,"")</f>
        <v/>
      </c>
      <c r="C569">
        <f>IF(B569="","",INDEX(D_LOT,B569)&amp;"")</f>
        <v/>
      </c>
      <c r="D569">
        <f>IF(B569="","",INDEX(D_SEQ,B569))</f>
        <v/>
      </c>
      <c r="E569">
        <f>IF(B569="","",IFERROR(VALUE(INDEX(D_VAL,B569)&amp;""),""))</f>
        <v/>
      </c>
      <c r="F569">
        <f>IF(B569="","",F568+(C569&lt;&gt;C568))</f>
        <v/>
      </c>
      <c r="G569">
        <f>IF(B569="","",F569&amp;"|"&amp;D569)</f>
        <v/>
      </c>
    </row>
    <row r="570">
      <c r="A570" t="n">
        <v>559</v>
      </c>
      <c r="B570">
        <f>IF(A570&lt;=$B$4,$B$3+A570-1,"")</f>
        <v/>
      </c>
      <c r="C570">
        <f>IF(B570="","",INDEX(D_LOT,B570)&amp;"")</f>
        <v/>
      </c>
      <c r="D570">
        <f>IF(B570="","",INDEX(D_SEQ,B570))</f>
        <v/>
      </c>
      <c r="E570">
        <f>IF(B570="","",IFERROR(VALUE(INDEX(D_VAL,B570)&amp;""),""))</f>
        <v/>
      </c>
      <c r="F570">
        <f>IF(B570="","",F569+(C570&lt;&gt;C569))</f>
        <v/>
      </c>
      <c r="G570">
        <f>IF(B570="","",F570&amp;"|"&amp;D570)</f>
        <v/>
      </c>
    </row>
    <row r="571">
      <c r="A571" t="n">
        <v>560</v>
      </c>
      <c r="B571">
        <f>IF(A571&lt;=$B$4,$B$3+A571-1,"")</f>
        <v/>
      </c>
      <c r="C571">
        <f>IF(B571="","",INDEX(D_LOT,B571)&amp;"")</f>
        <v/>
      </c>
      <c r="D571">
        <f>IF(B571="","",INDEX(D_SEQ,B571))</f>
        <v/>
      </c>
      <c r="E571">
        <f>IF(B571="","",IFERROR(VALUE(INDEX(D_VAL,B571)&amp;""),""))</f>
        <v/>
      </c>
      <c r="F571">
        <f>IF(B571="","",F570+(C571&lt;&gt;C570))</f>
        <v/>
      </c>
      <c r="G571">
        <f>IF(B571="","",F571&amp;"|"&amp;D571)</f>
        <v/>
      </c>
    </row>
    <row r="572">
      <c r="A572" t="n">
        <v>561</v>
      </c>
      <c r="B572">
        <f>IF(A572&lt;=$B$4,$B$3+A572-1,"")</f>
        <v/>
      </c>
      <c r="C572">
        <f>IF(B572="","",INDEX(D_LOT,B572)&amp;"")</f>
        <v/>
      </c>
      <c r="D572">
        <f>IF(B572="","",INDEX(D_SEQ,B572))</f>
        <v/>
      </c>
      <c r="E572">
        <f>IF(B572="","",IFERROR(VALUE(INDEX(D_VAL,B572)&amp;""),""))</f>
        <v/>
      </c>
      <c r="F572">
        <f>IF(B572="","",F571+(C572&lt;&gt;C571))</f>
        <v/>
      </c>
      <c r="G572">
        <f>IF(B572="","",F572&amp;"|"&amp;D572)</f>
        <v/>
      </c>
    </row>
    <row r="573">
      <c r="A573" t="n">
        <v>562</v>
      </c>
      <c r="B573">
        <f>IF(A573&lt;=$B$4,$B$3+A573-1,"")</f>
        <v/>
      </c>
      <c r="C573">
        <f>IF(B573="","",INDEX(D_LOT,B573)&amp;"")</f>
        <v/>
      </c>
      <c r="D573">
        <f>IF(B573="","",INDEX(D_SEQ,B573))</f>
        <v/>
      </c>
      <c r="E573">
        <f>IF(B573="","",IFERROR(VALUE(INDEX(D_VAL,B573)&amp;""),""))</f>
        <v/>
      </c>
      <c r="F573">
        <f>IF(B573="","",F572+(C573&lt;&gt;C572))</f>
        <v/>
      </c>
      <c r="G573">
        <f>IF(B573="","",F573&amp;"|"&amp;D573)</f>
        <v/>
      </c>
    </row>
    <row r="574">
      <c r="A574" t="n">
        <v>563</v>
      </c>
      <c r="B574">
        <f>IF(A574&lt;=$B$4,$B$3+A574-1,"")</f>
        <v/>
      </c>
      <c r="C574">
        <f>IF(B574="","",INDEX(D_LOT,B574)&amp;"")</f>
        <v/>
      </c>
      <c r="D574">
        <f>IF(B574="","",INDEX(D_SEQ,B574))</f>
        <v/>
      </c>
      <c r="E574">
        <f>IF(B574="","",IFERROR(VALUE(INDEX(D_VAL,B574)&amp;""),""))</f>
        <v/>
      </c>
      <c r="F574">
        <f>IF(B574="","",F573+(C574&lt;&gt;C573))</f>
        <v/>
      </c>
      <c r="G574">
        <f>IF(B574="","",F574&amp;"|"&amp;D574)</f>
        <v/>
      </c>
    </row>
    <row r="575">
      <c r="A575" t="n">
        <v>564</v>
      </c>
      <c r="B575">
        <f>IF(A575&lt;=$B$4,$B$3+A575-1,"")</f>
        <v/>
      </c>
      <c r="C575">
        <f>IF(B575="","",INDEX(D_LOT,B575)&amp;"")</f>
        <v/>
      </c>
      <c r="D575">
        <f>IF(B575="","",INDEX(D_SEQ,B575))</f>
        <v/>
      </c>
      <c r="E575">
        <f>IF(B575="","",IFERROR(VALUE(INDEX(D_VAL,B575)&amp;""),""))</f>
        <v/>
      </c>
      <c r="F575">
        <f>IF(B575="","",F574+(C575&lt;&gt;C574))</f>
        <v/>
      </c>
      <c r="G575">
        <f>IF(B575="","",F575&amp;"|"&amp;D575)</f>
        <v/>
      </c>
    </row>
    <row r="576">
      <c r="A576" t="n">
        <v>565</v>
      </c>
      <c r="B576">
        <f>IF(A576&lt;=$B$4,$B$3+A576-1,"")</f>
        <v/>
      </c>
      <c r="C576">
        <f>IF(B576="","",INDEX(D_LOT,B576)&amp;"")</f>
        <v/>
      </c>
      <c r="D576">
        <f>IF(B576="","",INDEX(D_SEQ,B576))</f>
        <v/>
      </c>
      <c r="E576">
        <f>IF(B576="","",IFERROR(VALUE(INDEX(D_VAL,B576)&amp;""),""))</f>
        <v/>
      </c>
      <c r="F576">
        <f>IF(B576="","",F575+(C576&lt;&gt;C575))</f>
        <v/>
      </c>
      <c r="G576">
        <f>IF(B576="","",F576&amp;"|"&amp;D576)</f>
        <v/>
      </c>
    </row>
    <row r="577">
      <c r="A577" t="n">
        <v>566</v>
      </c>
      <c r="B577">
        <f>IF(A577&lt;=$B$4,$B$3+A577-1,"")</f>
        <v/>
      </c>
      <c r="C577">
        <f>IF(B577="","",INDEX(D_LOT,B577)&amp;"")</f>
        <v/>
      </c>
      <c r="D577">
        <f>IF(B577="","",INDEX(D_SEQ,B577))</f>
        <v/>
      </c>
      <c r="E577">
        <f>IF(B577="","",IFERROR(VALUE(INDEX(D_VAL,B577)&amp;""),""))</f>
        <v/>
      </c>
      <c r="F577">
        <f>IF(B577="","",F576+(C577&lt;&gt;C576))</f>
        <v/>
      </c>
      <c r="G577">
        <f>IF(B577="","",F577&amp;"|"&amp;D577)</f>
        <v/>
      </c>
    </row>
    <row r="578">
      <c r="A578" t="n">
        <v>567</v>
      </c>
      <c r="B578">
        <f>IF(A578&lt;=$B$4,$B$3+A578-1,"")</f>
        <v/>
      </c>
      <c r="C578">
        <f>IF(B578="","",INDEX(D_LOT,B578)&amp;"")</f>
        <v/>
      </c>
      <c r="D578">
        <f>IF(B578="","",INDEX(D_SEQ,B578))</f>
        <v/>
      </c>
      <c r="E578">
        <f>IF(B578="","",IFERROR(VALUE(INDEX(D_VAL,B578)&amp;""),""))</f>
        <v/>
      </c>
      <c r="F578">
        <f>IF(B578="","",F577+(C578&lt;&gt;C577))</f>
        <v/>
      </c>
      <c r="G578">
        <f>IF(B578="","",F578&amp;"|"&amp;D578)</f>
        <v/>
      </c>
    </row>
    <row r="579">
      <c r="A579" t="n">
        <v>568</v>
      </c>
      <c r="B579">
        <f>IF(A579&lt;=$B$4,$B$3+A579-1,"")</f>
        <v/>
      </c>
      <c r="C579">
        <f>IF(B579="","",INDEX(D_LOT,B579)&amp;"")</f>
        <v/>
      </c>
      <c r="D579">
        <f>IF(B579="","",INDEX(D_SEQ,B579))</f>
        <v/>
      </c>
      <c r="E579">
        <f>IF(B579="","",IFERROR(VALUE(INDEX(D_VAL,B579)&amp;""),""))</f>
        <v/>
      </c>
      <c r="F579">
        <f>IF(B579="","",F578+(C579&lt;&gt;C578))</f>
        <v/>
      </c>
      <c r="G579">
        <f>IF(B579="","",F579&amp;"|"&amp;D579)</f>
        <v/>
      </c>
    </row>
    <row r="580">
      <c r="A580" t="n">
        <v>569</v>
      </c>
      <c r="B580">
        <f>IF(A580&lt;=$B$4,$B$3+A580-1,"")</f>
        <v/>
      </c>
      <c r="C580">
        <f>IF(B580="","",INDEX(D_LOT,B580)&amp;"")</f>
        <v/>
      </c>
      <c r="D580">
        <f>IF(B580="","",INDEX(D_SEQ,B580))</f>
        <v/>
      </c>
      <c r="E580">
        <f>IF(B580="","",IFERROR(VALUE(INDEX(D_VAL,B580)&amp;""),""))</f>
        <v/>
      </c>
      <c r="F580">
        <f>IF(B580="","",F579+(C580&lt;&gt;C579))</f>
        <v/>
      </c>
      <c r="G580">
        <f>IF(B580="","",F580&amp;"|"&amp;D580)</f>
        <v/>
      </c>
    </row>
    <row r="581">
      <c r="A581" t="n">
        <v>570</v>
      </c>
      <c r="B581">
        <f>IF(A581&lt;=$B$4,$B$3+A581-1,"")</f>
        <v/>
      </c>
      <c r="C581">
        <f>IF(B581="","",INDEX(D_LOT,B581)&amp;"")</f>
        <v/>
      </c>
      <c r="D581">
        <f>IF(B581="","",INDEX(D_SEQ,B581))</f>
        <v/>
      </c>
      <c r="E581">
        <f>IF(B581="","",IFERROR(VALUE(INDEX(D_VAL,B581)&amp;""),""))</f>
        <v/>
      </c>
      <c r="F581">
        <f>IF(B581="","",F580+(C581&lt;&gt;C580))</f>
        <v/>
      </c>
      <c r="G581">
        <f>IF(B581="","",F581&amp;"|"&amp;D581)</f>
        <v/>
      </c>
    </row>
    <row r="582">
      <c r="A582" t="n">
        <v>571</v>
      </c>
      <c r="B582">
        <f>IF(A582&lt;=$B$4,$B$3+A582-1,"")</f>
        <v/>
      </c>
      <c r="C582">
        <f>IF(B582="","",INDEX(D_LOT,B582)&amp;"")</f>
        <v/>
      </c>
      <c r="D582">
        <f>IF(B582="","",INDEX(D_SEQ,B582))</f>
        <v/>
      </c>
      <c r="E582">
        <f>IF(B582="","",IFERROR(VALUE(INDEX(D_VAL,B582)&amp;""),""))</f>
        <v/>
      </c>
      <c r="F582">
        <f>IF(B582="","",F581+(C582&lt;&gt;C581))</f>
        <v/>
      </c>
      <c r="G582">
        <f>IF(B582="","",F582&amp;"|"&amp;D582)</f>
        <v/>
      </c>
    </row>
    <row r="583">
      <c r="A583" t="n">
        <v>572</v>
      </c>
      <c r="B583">
        <f>IF(A583&lt;=$B$4,$B$3+A583-1,"")</f>
        <v/>
      </c>
      <c r="C583">
        <f>IF(B583="","",INDEX(D_LOT,B583)&amp;"")</f>
        <v/>
      </c>
      <c r="D583">
        <f>IF(B583="","",INDEX(D_SEQ,B583))</f>
        <v/>
      </c>
      <c r="E583">
        <f>IF(B583="","",IFERROR(VALUE(INDEX(D_VAL,B583)&amp;""),""))</f>
        <v/>
      </c>
      <c r="F583">
        <f>IF(B583="","",F582+(C583&lt;&gt;C582))</f>
        <v/>
      </c>
      <c r="G583">
        <f>IF(B583="","",F583&amp;"|"&amp;D583)</f>
        <v/>
      </c>
    </row>
    <row r="584">
      <c r="A584" t="n">
        <v>573</v>
      </c>
      <c r="B584">
        <f>IF(A584&lt;=$B$4,$B$3+A584-1,"")</f>
        <v/>
      </c>
      <c r="C584">
        <f>IF(B584="","",INDEX(D_LOT,B584)&amp;"")</f>
        <v/>
      </c>
      <c r="D584">
        <f>IF(B584="","",INDEX(D_SEQ,B584))</f>
        <v/>
      </c>
      <c r="E584">
        <f>IF(B584="","",IFERROR(VALUE(INDEX(D_VAL,B584)&amp;""),""))</f>
        <v/>
      </c>
      <c r="F584">
        <f>IF(B584="","",F583+(C584&lt;&gt;C583))</f>
        <v/>
      </c>
      <c r="G584">
        <f>IF(B584="","",F584&amp;"|"&amp;D584)</f>
        <v/>
      </c>
    </row>
    <row r="585">
      <c r="A585" t="n">
        <v>574</v>
      </c>
      <c r="B585">
        <f>IF(A585&lt;=$B$4,$B$3+A585-1,"")</f>
        <v/>
      </c>
      <c r="C585">
        <f>IF(B585="","",INDEX(D_LOT,B585)&amp;"")</f>
        <v/>
      </c>
      <c r="D585">
        <f>IF(B585="","",INDEX(D_SEQ,B585))</f>
        <v/>
      </c>
      <c r="E585">
        <f>IF(B585="","",IFERROR(VALUE(INDEX(D_VAL,B585)&amp;""),""))</f>
        <v/>
      </c>
      <c r="F585">
        <f>IF(B585="","",F584+(C585&lt;&gt;C584))</f>
        <v/>
      </c>
      <c r="G585">
        <f>IF(B585="","",F585&amp;"|"&amp;D585)</f>
        <v/>
      </c>
    </row>
    <row r="586">
      <c r="A586" t="n">
        <v>575</v>
      </c>
      <c r="B586">
        <f>IF(A586&lt;=$B$4,$B$3+A586-1,"")</f>
        <v/>
      </c>
      <c r="C586">
        <f>IF(B586="","",INDEX(D_LOT,B586)&amp;"")</f>
        <v/>
      </c>
      <c r="D586">
        <f>IF(B586="","",INDEX(D_SEQ,B586))</f>
        <v/>
      </c>
      <c r="E586">
        <f>IF(B586="","",IFERROR(VALUE(INDEX(D_VAL,B586)&amp;""),""))</f>
        <v/>
      </c>
      <c r="F586">
        <f>IF(B586="","",F585+(C586&lt;&gt;C585))</f>
        <v/>
      </c>
      <c r="G586">
        <f>IF(B586="","",F586&amp;"|"&amp;D586)</f>
        <v/>
      </c>
    </row>
    <row r="587">
      <c r="A587" t="n">
        <v>576</v>
      </c>
      <c r="B587">
        <f>IF(A587&lt;=$B$4,$B$3+A587-1,"")</f>
        <v/>
      </c>
      <c r="C587">
        <f>IF(B587="","",INDEX(D_LOT,B587)&amp;"")</f>
        <v/>
      </c>
      <c r="D587">
        <f>IF(B587="","",INDEX(D_SEQ,B587))</f>
        <v/>
      </c>
      <c r="E587">
        <f>IF(B587="","",IFERROR(VALUE(INDEX(D_VAL,B587)&amp;""),""))</f>
        <v/>
      </c>
      <c r="F587">
        <f>IF(B587="","",F586+(C587&lt;&gt;C586))</f>
        <v/>
      </c>
      <c r="G587">
        <f>IF(B587="","",F587&amp;"|"&amp;D587)</f>
        <v/>
      </c>
    </row>
    <row r="588">
      <c r="A588" t="n">
        <v>577</v>
      </c>
      <c r="B588">
        <f>IF(A588&lt;=$B$4,$B$3+A588-1,"")</f>
        <v/>
      </c>
      <c r="C588">
        <f>IF(B588="","",INDEX(D_LOT,B588)&amp;"")</f>
        <v/>
      </c>
      <c r="D588">
        <f>IF(B588="","",INDEX(D_SEQ,B588))</f>
        <v/>
      </c>
      <c r="E588">
        <f>IF(B588="","",IFERROR(VALUE(INDEX(D_VAL,B588)&amp;""),""))</f>
        <v/>
      </c>
      <c r="F588">
        <f>IF(B588="","",F587+(C588&lt;&gt;C587))</f>
        <v/>
      </c>
      <c r="G588">
        <f>IF(B588="","",F588&amp;"|"&amp;D588)</f>
        <v/>
      </c>
    </row>
    <row r="589">
      <c r="A589" t="n">
        <v>578</v>
      </c>
      <c r="B589">
        <f>IF(A589&lt;=$B$4,$B$3+A589-1,"")</f>
        <v/>
      </c>
      <c r="C589">
        <f>IF(B589="","",INDEX(D_LOT,B589)&amp;"")</f>
        <v/>
      </c>
      <c r="D589">
        <f>IF(B589="","",INDEX(D_SEQ,B589))</f>
        <v/>
      </c>
      <c r="E589">
        <f>IF(B589="","",IFERROR(VALUE(INDEX(D_VAL,B589)&amp;""),""))</f>
        <v/>
      </c>
      <c r="F589">
        <f>IF(B589="","",F588+(C589&lt;&gt;C588))</f>
        <v/>
      </c>
      <c r="G589">
        <f>IF(B589="","",F589&amp;"|"&amp;D589)</f>
        <v/>
      </c>
    </row>
    <row r="590">
      <c r="A590" t="n">
        <v>579</v>
      </c>
      <c r="B590">
        <f>IF(A590&lt;=$B$4,$B$3+A590-1,"")</f>
        <v/>
      </c>
      <c r="C590">
        <f>IF(B590="","",INDEX(D_LOT,B590)&amp;"")</f>
        <v/>
      </c>
      <c r="D590">
        <f>IF(B590="","",INDEX(D_SEQ,B590))</f>
        <v/>
      </c>
      <c r="E590">
        <f>IF(B590="","",IFERROR(VALUE(INDEX(D_VAL,B590)&amp;""),""))</f>
        <v/>
      </c>
      <c r="F590">
        <f>IF(B590="","",F589+(C590&lt;&gt;C589))</f>
        <v/>
      </c>
      <c r="G590">
        <f>IF(B590="","",F590&amp;"|"&amp;D590)</f>
        <v/>
      </c>
    </row>
    <row r="591">
      <c r="A591" t="n">
        <v>580</v>
      </c>
      <c r="B591">
        <f>IF(A591&lt;=$B$4,$B$3+A591-1,"")</f>
        <v/>
      </c>
      <c r="C591">
        <f>IF(B591="","",INDEX(D_LOT,B591)&amp;"")</f>
        <v/>
      </c>
      <c r="D591">
        <f>IF(B591="","",INDEX(D_SEQ,B591))</f>
        <v/>
      </c>
      <c r="E591">
        <f>IF(B591="","",IFERROR(VALUE(INDEX(D_VAL,B591)&amp;""),""))</f>
        <v/>
      </c>
      <c r="F591">
        <f>IF(B591="","",F590+(C591&lt;&gt;C590))</f>
        <v/>
      </c>
      <c r="G591">
        <f>IF(B591="","",F591&amp;"|"&amp;D591)</f>
        <v/>
      </c>
    </row>
    <row r="592">
      <c r="A592" t="n">
        <v>581</v>
      </c>
      <c r="B592">
        <f>IF(A592&lt;=$B$4,$B$3+A592-1,"")</f>
        <v/>
      </c>
      <c r="C592">
        <f>IF(B592="","",INDEX(D_LOT,B592)&amp;"")</f>
        <v/>
      </c>
      <c r="D592">
        <f>IF(B592="","",INDEX(D_SEQ,B592))</f>
        <v/>
      </c>
      <c r="E592">
        <f>IF(B592="","",IFERROR(VALUE(INDEX(D_VAL,B592)&amp;""),""))</f>
        <v/>
      </c>
      <c r="F592">
        <f>IF(B592="","",F591+(C592&lt;&gt;C591))</f>
        <v/>
      </c>
      <c r="G592">
        <f>IF(B592="","",F592&amp;"|"&amp;D592)</f>
        <v/>
      </c>
    </row>
    <row r="593">
      <c r="A593" t="n">
        <v>582</v>
      </c>
      <c r="B593">
        <f>IF(A593&lt;=$B$4,$B$3+A593-1,"")</f>
        <v/>
      </c>
      <c r="C593">
        <f>IF(B593="","",INDEX(D_LOT,B593)&amp;"")</f>
        <v/>
      </c>
      <c r="D593">
        <f>IF(B593="","",INDEX(D_SEQ,B593))</f>
        <v/>
      </c>
      <c r="E593">
        <f>IF(B593="","",IFERROR(VALUE(INDEX(D_VAL,B593)&amp;""),""))</f>
        <v/>
      </c>
      <c r="F593">
        <f>IF(B593="","",F592+(C593&lt;&gt;C592))</f>
        <v/>
      </c>
      <c r="G593">
        <f>IF(B593="","",F593&amp;"|"&amp;D593)</f>
        <v/>
      </c>
    </row>
    <row r="594">
      <c r="A594" t="n">
        <v>583</v>
      </c>
      <c r="B594">
        <f>IF(A594&lt;=$B$4,$B$3+A594-1,"")</f>
        <v/>
      </c>
      <c r="C594">
        <f>IF(B594="","",INDEX(D_LOT,B594)&amp;"")</f>
        <v/>
      </c>
      <c r="D594">
        <f>IF(B594="","",INDEX(D_SEQ,B594))</f>
        <v/>
      </c>
      <c r="E594">
        <f>IF(B594="","",IFERROR(VALUE(INDEX(D_VAL,B594)&amp;""),""))</f>
        <v/>
      </c>
      <c r="F594">
        <f>IF(B594="","",F593+(C594&lt;&gt;C593))</f>
        <v/>
      </c>
      <c r="G594">
        <f>IF(B594="","",F594&amp;"|"&amp;D594)</f>
        <v/>
      </c>
    </row>
    <row r="595">
      <c r="A595" t="n">
        <v>584</v>
      </c>
      <c r="B595">
        <f>IF(A595&lt;=$B$4,$B$3+A595-1,"")</f>
        <v/>
      </c>
      <c r="C595">
        <f>IF(B595="","",INDEX(D_LOT,B595)&amp;"")</f>
        <v/>
      </c>
      <c r="D595">
        <f>IF(B595="","",INDEX(D_SEQ,B595))</f>
        <v/>
      </c>
      <c r="E595">
        <f>IF(B595="","",IFERROR(VALUE(INDEX(D_VAL,B595)&amp;""),""))</f>
        <v/>
      </c>
      <c r="F595">
        <f>IF(B595="","",F594+(C595&lt;&gt;C594))</f>
        <v/>
      </c>
      <c r="G595">
        <f>IF(B595="","",F595&amp;"|"&amp;D595)</f>
        <v/>
      </c>
    </row>
    <row r="596">
      <c r="A596" t="n">
        <v>585</v>
      </c>
      <c r="B596">
        <f>IF(A596&lt;=$B$4,$B$3+A596-1,"")</f>
        <v/>
      </c>
      <c r="C596">
        <f>IF(B596="","",INDEX(D_LOT,B596)&amp;"")</f>
        <v/>
      </c>
      <c r="D596">
        <f>IF(B596="","",INDEX(D_SEQ,B596))</f>
        <v/>
      </c>
      <c r="E596">
        <f>IF(B596="","",IFERROR(VALUE(INDEX(D_VAL,B596)&amp;""),""))</f>
        <v/>
      </c>
      <c r="F596">
        <f>IF(B596="","",F595+(C596&lt;&gt;C595))</f>
        <v/>
      </c>
      <c r="G596">
        <f>IF(B596="","",F596&amp;"|"&amp;D596)</f>
        <v/>
      </c>
    </row>
    <row r="597">
      <c r="A597" t="n">
        <v>586</v>
      </c>
      <c r="B597">
        <f>IF(A597&lt;=$B$4,$B$3+A597-1,"")</f>
        <v/>
      </c>
      <c r="C597">
        <f>IF(B597="","",INDEX(D_LOT,B597)&amp;"")</f>
        <v/>
      </c>
      <c r="D597">
        <f>IF(B597="","",INDEX(D_SEQ,B597))</f>
        <v/>
      </c>
      <c r="E597">
        <f>IF(B597="","",IFERROR(VALUE(INDEX(D_VAL,B597)&amp;""),""))</f>
        <v/>
      </c>
      <c r="F597">
        <f>IF(B597="","",F596+(C597&lt;&gt;C596))</f>
        <v/>
      </c>
      <c r="G597">
        <f>IF(B597="","",F597&amp;"|"&amp;D597)</f>
        <v/>
      </c>
    </row>
    <row r="598">
      <c r="A598" t="n">
        <v>587</v>
      </c>
      <c r="B598">
        <f>IF(A598&lt;=$B$4,$B$3+A598-1,"")</f>
        <v/>
      </c>
      <c r="C598">
        <f>IF(B598="","",INDEX(D_LOT,B598)&amp;"")</f>
        <v/>
      </c>
      <c r="D598">
        <f>IF(B598="","",INDEX(D_SEQ,B598))</f>
        <v/>
      </c>
      <c r="E598">
        <f>IF(B598="","",IFERROR(VALUE(INDEX(D_VAL,B598)&amp;""),""))</f>
        <v/>
      </c>
      <c r="F598">
        <f>IF(B598="","",F597+(C598&lt;&gt;C597))</f>
        <v/>
      </c>
      <c r="G598">
        <f>IF(B598="","",F598&amp;"|"&amp;D598)</f>
        <v/>
      </c>
    </row>
    <row r="599">
      <c r="A599" t="n">
        <v>588</v>
      </c>
      <c r="B599">
        <f>IF(A599&lt;=$B$4,$B$3+A599-1,"")</f>
        <v/>
      </c>
      <c r="C599">
        <f>IF(B599="","",INDEX(D_LOT,B599)&amp;"")</f>
        <v/>
      </c>
      <c r="D599">
        <f>IF(B599="","",INDEX(D_SEQ,B599))</f>
        <v/>
      </c>
      <c r="E599">
        <f>IF(B599="","",IFERROR(VALUE(INDEX(D_VAL,B599)&amp;""),""))</f>
        <v/>
      </c>
      <c r="F599">
        <f>IF(B599="","",F598+(C599&lt;&gt;C598))</f>
        <v/>
      </c>
      <c r="G599">
        <f>IF(B599="","",F599&amp;"|"&amp;D599)</f>
        <v/>
      </c>
    </row>
    <row r="600">
      <c r="A600" t="n">
        <v>589</v>
      </c>
      <c r="B600">
        <f>IF(A600&lt;=$B$4,$B$3+A600-1,"")</f>
        <v/>
      </c>
      <c r="C600">
        <f>IF(B600="","",INDEX(D_LOT,B600)&amp;"")</f>
        <v/>
      </c>
      <c r="D600">
        <f>IF(B600="","",INDEX(D_SEQ,B600))</f>
        <v/>
      </c>
      <c r="E600">
        <f>IF(B600="","",IFERROR(VALUE(INDEX(D_VAL,B600)&amp;""),""))</f>
        <v/>
      </c>
      <c r="F600">
        <f>IF(B600="","",F599+(C600&lt;&gt;C599))</f>
        <v/>
      </c>
      <c r="G600">
        <f>IF(B600="","",F600&amp;"|"&amp;D600)</f>
        <v/>
      </c>
    </row>
    <row r="601">
      <c r="A601" t="n">
        <v>590</v>
      </c>
      <c r="B601">
        <f>IF(A601&lt;=$B$4,$B$3+A601-1,"")</f>
        <v/>
      </c>
      <c r="C601">
        <f>IF(B601="","",INDEX(D_LOT,B601)&amp;"")</f>
        <v/>
      </c>
      <c r="D601">
        <f>IF(B601="","",INDEX(D_SEQ,B601))</f>
        <v/>
      </c>
      <c r="E601">
        <f>IF(B601="","",IFERROR(VALUE(INDEX(D_VAL,B601)&amp;""),""))</f>
        <v/>
      </c>
      <c r="F601">
        <f>IF(B601="","",F600+(C601&lt;&gt;C600))</f>
        <v/>
      </c>
      <c r="G601">
        <f>IF(B601="","",F601&amp;"|"&amp;D601)</f>
        <v/>
      </c>
    </row>
    <row r="602">
      <c r="A602" t="n">
        <v>591</v>
      </c>
      <c r="B602">
        <f>IF(A602&lt;=$B$4,$B$3+A602-1,"")</f>
        <v/>
      </c>
      <c r="C602">
        <f>IF(B602="","",INDEX(D_LOT,B602)&amp;"")</f>
        <v/>
      </c>
      <c r="D602">
        <f>IF(B602="","",INDEX(D_SEQ,B602))</f>
        <v/>
      </c>
      <c r="E602">
        <f>IF(B602="","",IFERROR(VALUE(INDEX(D_VAL,B602)&amp;""),""))</f>
        <v/>
      </c>
      <c r="F602">
        <f>IF(B602="","",F601+(C602&lt;&gt;C601))</f>
        <v/>
      </c>
      <c r="G602">
        <f>IF(B602="","",F602&amp;"|"&amp;D602)</f>
        <v/>
      </c>
    </row>
    <row r="603">
      <c r="A603" t="n">
        <v>592</v>
      </c>
      <c r="B603">
        <f>IF(A603&lt;=$B$4,$B$3+A603-1,"")</f>
        <v/>
      </c>
      <c r="C603">
        <f>IF(B603="","",INDEX(D_LOT,B603)&amp;"")</f>
        <v/>
      </c>
      <c r="D603">
        <f>IF(B603="","",INDEX(D_SEQ,B603))</f>
        <v/>
      </c>
      <c r="E603">
        <f>IF(B603="","",IFERROR(VALUE(INDEX(D_VAL,B603)&amp;""),""))</f>
        <v/>
      </c>
      <c r="F603">
        <f>IF(B603="","",F602+(C603&lt;&gt;C602))</f>
        <v/>
      </c>
      <c r="G603">
        <f>IF(B603="","",F603&amp;"|"&amp;D603)</f>
        <v/>
      </c>
    </row>
    <row r="604">
      <c r="A604" t="n">
        <v>593</v>
      </c>
      <c r="B604">
        <f>IF(A604&lt;=$B$4,$B$3+A604-1,"")</f>
        <v/>
      </c>
      <c r="C604">
        <f>IF(B604="","",INDEX(D_LOT,B604)&amp;"")</f>
        <v/>
      </c>
      <c r="D604">
        <f>IF(B604="","",INDEX(D_SEQ,B604))</f>
        <v/>
      </c>
      <c r="E604">
        <f>IF(B604="","",IFERROR(VALUE(INDEX(D_VAL,B604)&amp;""),""))</f>
        <v/>
      </c>
      <c r="F604">
        <f>IF(B604="","",F603+(C604&lt;&gt;C603))</f>
        <v/>
      </c>
      <c r="G604">
        <f>IF(B604="","",F604&amp;"|"&amp;D604)</f>
        <v/>
      </c>
    </row>
    <row r="605">
      <c r="A605" t="n">
        <v>594</v>
      </c>
      <c r="B605">
        <f>IF(A605&lt;=$B$4,$B$3+A605-1,"")</f>
        <v/>
      </c>
      <c r="C605">
        <f>IF(B605="","",INDEX(D_LOT,B605)&amp;"")</f>
        <v/>
      </c>
      <c r="D605">
        <f>IF(B605="","",INDEX(D_SEQ,B605))</f>
        <v/>
      </c>
      <c r="E605">
        <f>IF(B605="","",IFERROR(VALUE(INDEX(D_VAL,B605)&amp;""),""))</f>
        <v/>
      </c>
      <c r="F605">
        <f>IF(B605="","",F604+(C605&lt;&gt;C604))</f>
        <v/>
      </c>
      <c r="G605">
        <f>IF(B605="","",F605&amp;"|"&amp;D605)</f>
        <v/>
      </c>
    </row>
    <row r="606">
      <c r="A606" t="n">
        <v>595</v>
      </c>
      <c r="B606">
        <f>IF(A606&lt;=$B$4,$B$3+A606-1,"")</f>
        <v/>
      </c>
      <c r="C606">
        <f>IF(B606="","",INDEX(D_LOT,B606)&amp;"")</f>
        <v/>
      </c>
      <c r="D606">
        <f>IF(B606="","",INDEX(D_SEQ,B606))</f>
        <v/>
      </c>
      <c r="E606">
        <f>IF(B606="","",IFERROR(VALUE(INDEX(D_VAL,B606)&amp;""),""))</f>
        <v/>
      </c>
      <c r="F606">
        <f>IF(B606="","",F605+(C606&lt;&gt;C605))</f>
        <v/>
      </c>
      <c r="G606">
        <f>IF(B606="","",F606&amp;"|"&amp;D606)</f>
        <v/>
      </c>
    </row>
    <row r="607">
      <c r="A607" t="n">
        <v>596</v>
      </c>
      <c r="B607">
        <f>IF(A607&lt;=$B$4,$B$3+A607-1,"")</f>
        <v/>
      </c>
      <c r="C607">
        <f>IF(B607="","",INDEX(D_LOT,B607)&amp;"")</f>
        <v/>
      </c>
      <c r="D607">
        <f>IF(B607="","",INDEX(D_SEQ,B607))</f>
        <v/>
      </c>
      <c r="E607">
        <f>IF(B607="","",IFERROR(VALUE(INDEX(D_VAL,B607)&amp;""),""))</f>
        <v/>
      </c>
      <c r="F607">
        <f>IF(B607="","",F606+(C607&lt;&gt;C606))</f>
        <v/>
      </c>
      <c r="G607">
        <f>IF(B607="","",F607&amp;"|"&amp;D607)</f>
        <v/>
      </c>
    </row>
    <row r="608">
      <c r="A608" t="n">
        <v>597</v>
      </c>
      <c r="B608">
        <f>IF(A608&lt;=$B$4,$B$3+A608-1,"")</f>
        <v/>
      </c>
      <c r="C608">
        <f>IF(B608="","",INDEX(D_LOT,B608)&amp;"")</f>
        <v/>
      </c>
      <c r="D608">
        <f>IF(B608="","",INDEX(D_SEQ,B608))</f>
        <v/>
      </c>
      <c r="E608">
        <f>IF(B608="","",IFERROR(VALUE(INDEX(D_VAL,B608)&amp;""),""))</f>
        <v/>
      </c>
      <c r="F608">
        <f>IF(B608="","",F607+(C608&lt;&gt;C607))</f>
        <v/>
      </c>
      <c r="G608">
        <f>IF(B608="","",F608&amp;"|"&amp;D608)</f>
        <v/>
      </c>
    </row>
    <row r="609">
      <c r="A609" t="n">
        <v>598</v>
      </c>
      <c r="B609">
        <f>IF(A609&lt;=$B$4,$B$3+A609-1,"")</f>
        <v/>
      </c>
      <c r="C609">
        <f>IF(B609="","",INDEX(D_LOT,B609)&amp;"")</f>
        <v/>
      </c>
      <c r="D609">
        <f>IF(B609="","",INDEX(D_SEQ,B609))</f>
        <v/>
      </c>
      <c r="E609">
        <f>IF(B609="","",IFERROR(VALUE(INDEX(D_VAL,B609)&amp;""),""))</f>
        <v/>
      </c>
      <c r="F609">
        <f>IF(B609="","",F608+(C609&lt;&gt;C608))</f>
        <v/>
      </c>
      <c r="G609">
        <f>IF(B609="","",F609&amp;"|"&amp;D609)</f>
        <v/>
      </c>
    </row>
    <row r="610">
      <c r="A610" t="n">
        <v>599</v>
      </c>
      <c r="B610">
        <f>IF(A610&lt;=$B$4,$B$3+A610-1,"")</f>
        <v/>
      </c>
      <c r="C610">
        <f>IF(B610="","",INDEX(D_LOT,B610)&amp;"")</f>
        <v/>
      </c>
      <c r="D610">
        <f>IF(B610="","",INDEX(D_SEQ,B610))</f>
        <v/>
      </c>
      <c r="E610">
        <f>IF(B610="","",IFERROR(VALUE(INDEX(D_VAL,B610)&amp;""),""))</f>
        <v/>
      </c>
      <c r="F610">
        <f>IF(B610="","",F609+(C610&lt;&gt;C609))</f>
        <v/>
      </c>
      <c r="G610">
        <f>IF(B610="","",F610&amp;"|"&amp;D610)</f>
        <v/>
      </c>
    </row>
    <row r="611">
      <c r="A611" t="n">
        <v>600</v>
      </c>
      <c r="B611">
        <f>IF(A611&lt;=$B$4,$B$3+A611-1,"")</f>
        <v/>
      </c>
      <c r="C611">
        <f>IF(B611="","",INDEX(D_LOT,B611)&amp;"")</f>
        <v/>
      </c>
      <c r="D611">
        <f>IF(B611="","",INDEX(D_SEQ,B611))</f>
        <v/>
      </c>
      <c r="E611">
        <f>IF(B611="","",IFERROR(VALUE(INDEX(D_VAL,B611)&amp;""),""))</f>
        <v/>
      </c>
      <c r="F611">
        <f>IF(B611="","",F610+(C611&lt;&gt;C610))</f>
        <v/>
      </c>
      <c r="G611">
        <f>IF(B611="","",F611&amp;"|"&amp;D611)</f>
        <v/>
      </c>
    </row>
    <row r="612">
      <c r="A612" t="n">
        <v>601</v>
      </c>
      <c r="B612">
        <f>IF(A612&lt;=$B$4,$B$3+A612-1,"")</f>
        <v/>
      </c>
      <c r="C612">
        <f>IF(B612="","",INDEX(D_LOT,B612)&amp;"")</f>
        <v/>
      </c>
      <c r="D612">
        <f>IF(B612="","",INDEX(D_SEQ,B612))</f>
        <v/>
      </c>
      <c r="E612">
        <f>IF(B612="","",IFERROR(VALUE(INDEX(D_VAL,B612)&amp;""),""))</f>
        <v/>
      </c>
      <c r="F612">
        <f>IF(B612="","",F611+(C612&lt;&gt;C611))</f>
        <v/>
      </c>
      <c r="G612">
        <f>IF(B612="","",F612&amp;"|"&amp;D612)</f>
        <v/>
      </c>
    </row>
    <row r="613">
      <c r="A613" t="n">
        <v>602</v>
      </c>
      <c r="B613">
        <f>IF(A613&lt;=$B$4,$B$3+A613-1,"")</f>
        <v/>
      </c>
      <c r="C613">
        <f>IF(B613="","",INDEX(D_LOT,B613)&amp;"")</f>
        <v/>
      </c>
      <c r="D613">
        <f>IF(B613="","",INDEX(D_SEQ,B613))</f>
        <v/>
      </c>
      <c r="E613">
        <f>IF(B613="","",IFERROR(VALUE(INDEX(D_VAL,B613)&amp;""),""))</f>
        <v/>
      </c>
      <c r="F613">
        <f>IF(B613="","",F612+(C613&lt;&gt;C612))</f>
        <v/>
      </c>
      <c r="G613">
        <f>IF(B613="","",F613&amp;"|"&amp;D613)</f>
        <v/>
      </c>
    </row>
    <row r="614">
      <c r="A614" t="n">
        <v>603</v>
      </c>
      <c r="B614">
        <f>IF(A614&lt;=$B$4,$B$3+A614-1,"")</f>
        <v/>
      </c>
      <c r="C614">
        <f>IF(B614="","",INDEX(D_LOT,B614)&amp;"")</f>
        <v/>
      </c>
      <c r="D614">
        <f>IF(B614="","",INDEX(D_SEQ,B614))</f>
        <v/>
      </c>
      <c r="E614">
        <f>IF(B614="","",IFERROR(VALUE(INDEX(D_VAL,B614)&amp;""),""))</f>
        <v/>
      </c>
      <c r="F614">
        <f>IF(B614="","",F613+(C614&lt;&gt;C613))</f>
        <v/>
      </c>
      <c r="G614">
        <f>IF(B614="","",F614&amp;"|"&amp;D614)</f>
        <v/>
      </c>
    </row>
    <row r="615">
      <c r="A615" t="n">
        <v>604</v>
      </c>
      <c r="B615">
        <f>IF(A615&lt;=$B$4,$B$3+A615-1,"")</f>
        <v/>
      </c>
      <c r="C615">
        <f>IF(B615="","",INDEX(D_LOT,B615)&amp;"")</f>
        <v/>
      </c>
      <c r="D615">
        <f>IF(B615="","",INDEX(D_SEQ,B615))</f>
        <v/>
      </c>
      <c r="E615">
        <f>IF(B615="","",IFERROR(VALUE(INDEX(D_VAL,B615)&amp;""),""))</f>
        <v/>
      </c>
      <c r="F615">
        <f>IF(B615="","",F614+(C615&lt;&gt;C614))</f>
        <v/>
      </c>
      <c r="G615">
        <f>IF(B615="","",F615&amp;"|"&amp;D615)</f>
        <v/>
      </c>
    </row>
    <row r="616">
      <c r="A616" t="n">
        <v>605</v>
      </c>
      <c r="B616">
        <f>IF(A616&lt;=$B$4,$B$3+A616-1,"")</f>
        <v/>
      </c>
      <c r="C616">
        <f>IF(B616="","",INDEX(D_LOT,B616)&amp;"")</f>
        <v/>
      </c>
      <c r="D616">
        <f>IF(B616="","",INDEX(D_SEQ,B616))</f>
        <v/>
      </c>
      <c r="E616">
        <f>IF(B616="","",IFERROR(VALUE(INDEX(D_VAL,B616)&amp;""),""))</f>
        <v/>
      </c>
      <c r="F616">
        <f>IF(B616="","",F615+(C616&lt;&gt;C615))</f>
        <v/>
      </c>
      <c r="G616">
        <f>IF(B616="","",F616&amp;"|"&amp;D616)</f>
        <v/>
      </c>
    </row>
    <row r="617">
      <c r="A617" t="n">
        <v>606</v>
      </c>
      <c r="B617">
        <f>IF(A617&lt;=$B$4,$B$3+A617-1,"")</f>
        <v/>
      </c>
      <c r="C617">
        <f>IF(B617="","",INDEX(D_LOT,B617)&amp;"")</f>
        <v/>
      </c>
      <c r="D617">
        <f>IF(B617="","",INDEX(D_SEQ,B617))</f>
        <v/>
      </c>
      <c r="E617">
        <f>IF(B617="","",IFERROR(VALUE(INDEX(D_VAL,B617)&amp;""),""))</f>
        <v/>
      </c>
      <c r="F617">
        <f>IF(B617="","",F616+(C617&lt;&gt;C616))</f>
        <v/>
      </c>
      <c r="G617">
        <f>IF(B617="","",F617&amp;"|"&amp;D617)</f>
        <v/>
      </c>
    </row>
    <row r="618">
      <c r="A618" t="n">
        <v>607</v>
      </c>
      <c r="B618">
        <f>IF(A618&lt;=$B$4,$B$3+A618-1,"")</f>
        <v/>
      </c>
      <c r="C618">
        <f>IF(B618="","",INDEX(D_LOT,B618)&amp;"")</f>
        <v/>
      </c>
      <c r="D618">
        <f>IF(B618="","",INDEX(D_SEQ,B618))</f>
        <v/>
      </c>
      <c r="E618">
        <f>IF(B618="","",IFERROR(VALUE(INDEX(D_VAL,B618)&amp;""),""))</f>
        <v/>
      </c>
      <c r="F618">
        <f>IF(B618="","",F617+(C618&lt;&gt;C617))</f>
        <v/>
      </c>
      <c r="G618">
        <f>IF(B618="","",F618&amp;"|"&amp;D618)</f>
        <v/>
      </c>
    </row>
    <row r="619">
      <c r="A619" t="n">
        <v>608</v>
      </c>
      <c r="B619">
        <f>IF(A619&lt;=$B$4,$B$3+A619-1,"")</f>
        <v/>
      </c>
      <c r="C619">
        <f>IF(B619="","",INDEX(D_LOT,B619)&amp;"")</f>
        <v/>
      </c>
      <c r="D619">
        <f>IF(B619="","",INDEX(D_SEQ,B619))</f>
        <v/>
      </c>
      <c r="E619">
        <f>IF(B619="","",IFERROR(VALUE(INDEX(D_VAL,B619)&amp;""),""))</f>
        <v/>
      </c>
      <c r="F619">
        <f>IF(B619="","",F618+(C619&lt;&gt;C618))</f>
        <v/>
      </c>
      <c r="G619">
        <f>IF(B619="","",F619&amp;"|"&amp;D619)</f>
        <v/>
      </c>
    </row>
    <row r="620">
      <c r="A620" t="n">
        <v>609</v>
      </c>
      <c r="B620">
        <f>IF(A620&lt;=$B$4,$B$3+A620-1,"")</f>
        <v/>
      </c>
      <c r="C620">
        <f>IF(B620="","",INDEX(D_LOT,B620)&amp;"")</f>
        <v/>
      </c>
      <c r="D620">
        <f>IF(B620="","",INDEX(D_SEQ,B620))</f>
        <v/>
      </c>
      <c r="E620">
        <f>IF(B620="","",IFERROR(VALUE(INDEX(D_VAL,B620)&amp;""),""))</f>
        <v/>
      </c>
      <c r="F620">
        <f>IF(B620="","",F619+(C620&lt;&gt;C619))</f>
        <v/>
      </c>
      <c r="G620">
        <f>IF(B620="","",F620&amp;"|"&amp;D620)</f>
        <v/>
      </c>
    </row>
    <row r="621">
      <c r="A621" t="n">
        <v>610</v>
      </c>
      <c r="B621">
        <f>IF(A621&lt;=$B$4,$B$3+A621-1,"")</f>
        <v/>
      </c>
      <c r="C621">
        <f>IF(B621="","",INDEX(D_LOT,B621)&amp;"")</f>
        <v/>
      </c>
      <c r="D621">
        <f>IF(B621="","",INDEX(D_SEQ,B621))</f>
        <v/>
      </c>
      <c r="E621">
        <f>IF(B621="","",IFERROR(VALUE(INDEX(D_VAL,B621)&amp;""),""))</f>
        <v/>
      </c>
      <c r="F621">
        <f>IF(B621="","",F620+(C621&lt;&gt;C620))</f>
        <v/>
      </c>
      <c r="G621">
        <f>IF(B621="","",F621&amp;"|"&amp;D621)</f>
        <v/>
      </c>
    </row>
    <row r="622">
      <c r="A622" t="n">
        <v>611</v>
      </c>
      <c r="B622">
        <f>IF(A622&lt;=$B$4,$B$3+A622-1,"")</f>
        <v/>
      </c>
      <c r="C622">
        <f>IF(B622="","",INDEX(D_LOT,B622)&amp;"")</f>
        <v/>
      </c>
      <c r="D622">
        <f>IF(B622="","",INDEX(D_SEQ,B622))</f>
        <v/>
      </c>
      <c r="E622">
        <f>IF(B622="","",IFERROR(VALUE(INDEX(D_VAL,B622)&amp;""),""))</f>
        <v/>
      </c>
      <c r="F622">
        <f>IF(B622="","",F621+(C622&lt;&gt;C621))</f>
        <v/>
      </c>
      <c r="G622">
        <f>IF(B622="","",F622&amp;"|"&amp;D622)</f>
        <v/>
      </c>
    </row>
    <row r="623">
      <c r="A623" t="n">
        <v>612</v>
      </c>
      <c r="B623">
        <f>IF(A623&lt;=$B$4,$B$3+A623-1,"")</f>
        <v/>
      </c>
      <c r="C623">
        <f>IF(B623="","",INDEX(D_LOT,B623)&amp;"")</f>
        <v/>
      </c>
      <c r="D623">
        <f>IF(B623="","",INDEX(D_SEQ,B623))</f>
        <v/>
      </c>
      <c r="E623">
        <f>IF(B623="","",IFERROR(VALUE(INDEX(D_VAL,B623)&amp;""),""))</f>
        <v/>
      </c>
      <c r="F623">
        <f>IF(B623="","",F622+(C623&lt;&gt;C622))</f>
        <v/>
      </c>
      <c r="G623">
        <f>IF(B623="","",F623&amp;"|"&amp;D623)</f>
        <v/>
      </c>
    </row>
    <row r="624">
      <c r="A624" t="n">
        <v>613</v>
      </c>
      <c r="B624">
        <f>IF(A624&lt;=$B$4,$B$3+A624-1,"")</f>
        <v/>
      </c>
      <c r="C624">
        <f>IF(B624="","",INDEX(D_LOT,B624)&amp;"")</f>
        <v/>
      </c>
      <c r="D624">
        <f>IF(B624="","",INDEX(D_SEQ,B624))</f>
        <v/>
      </c>
      <c r="E624">
        <f>IF(B624="","",IFERROR(VALUE(INDEX(D_VAL,B624)&amp;""),""))</f>
        <v/>
      </c>
      <c r="F624">
        <f>IF(B624="","",F623+(C624&lt;&gt;C623))</f>
        <v/>
      </c>
      <c r="G624">
        <f>IF(B624="","",F624&amp;"|"&amp;D624)</f>
        <v/>
      </c>
    </row>
    <row r="625">
      <c r="A625" t="n">
        <v>614</v>
      </c>
      <c r="B625">
        <f>IF(A625&lt;=$B$4,$B$3+A625-1,"")</f>
        <v/>
      </c>
      <c r="C625">
        <f>IF(B625="","",INDEX(D_LOT,B625)&amp;"")</f>
        <v/>
      </c>
      <c r="D625">
        <f>IF(B625="","",INDEX(D_SEQ,B625))</f>
        <v/>
      </c>
      <c r="E625">
        <f>IF(B625="","",IFERROR(VALUE(INDEX(D_VAL,B625)&amp;""),""))</f>
        <v/>
      </c>
      <c r="F625">
        <f>IF(B625="","",F624+(C625&lt;&gt;C624))</f>
        <v/>
      </c>
      <c r="G625">
        <f>IF(B625="","",F625&amp;"|"&amp;D625)</f>
        <v/>
      </c>
    </row>
    <row r="626">
      <c r="A626" t="n">
        <v>615</v>
      </c>
      <c r="B626">
        <f>IF(A626&lt;=$B$4,$B$3+A626-1,"")</f>
        <v/>
      </c>
      <c r="C626">
        <f>IF(B626="","",INDEX(D_LOT,B626)&amp;"")</f>
        <v/>
      </c>
      <c r="D626">
        <f>IF(B626="","",INDEX(D_SEQ,B626))</f>
        <v/>
      </c>
      <c r="E626">
        <f>IF(B626="","",IFERROR(VALUE(INDEX(D_VAL,B626)&amp;""),""))</f>
        <v/>
      </c>
      <c r="F626">
        <f>IF(B626="","",F625+(C626&lt;&gt;C625))</f>
        <v/>
      </c>
      <c r="G626">
        <f>IF(B626="","",F626&amp;"|"&amp;D626)</f>
        <v/>
      </c>
    </row>
    <row r="627">
      <c r="A627" t="n">
        <v>616</v>
      </c>
      <c r="B627">
        <f>IF(A627&lt;=$B$4,$B$3+A627-1,"")</f>
        <v/>
      </c>
      <c r="C627">
        <f>IF(B627="","",INDEX(D_LOT,B627)&amp;"")</f>
        <v/>
      </c>
      <c r="D627">
        <f>IF(B627="","",INDEX(D_SEQ,B627))</f>
        <v/>
      </c>
      <c r="E627">
        <f>IF(B627="","",IFERROR(VALUE(INDEX(D_VAL,B627)&amp;""),""))</f>
        <v/>
      </c>
      <c r="F627">
        <f>IF(B627="","",F626+(C627&lt;&gt;C626))</f>
        <v/>
      </c>
      <c r="G627">
        <f>IF(B627="","",F627&amp;"|"&amp;D627)</f>
        <v/>
      </c>
    </row>
    <row r="628">
      <c r="A628" t="n">
        <v>617</v>
      </c>
      <c r="B628">
        <f>IF(A628&lt;=$B$4,$B$3+A628-1,"")</f>
        <v/>
      </c>
      <c r="C628">
        <f>IF(B628="","",INDEX(D_LOT,B628)&amp;"")</f>
        <v/>
      </c>
      <c r="D628">
        <f>IF(B628="","",INDEX(D_SEQ,B628))</f>
        <v/>
      </c>
      <c r="E628">
        <f>IF(B628="","",IFERROR(VALUE(INDEX(D_VAL,B628)&amp;""),""))</f>
        <v/>
      </c>
      <c r="F628">
        <f>IF(B628="","",F627+(C628&lt;&gt;C627))</f>
        <v/>
      </c>
      <c r="G628">
        <f>IF(B628="","",F628&amp;"|"&amp;D628)</f>
        <v/>
      </c>
    </row>
    <row r="629">
      <c r="A629" t="n">
        <v>618</v>
      </c>
      <c r="B629">
        <f>IF(A629&lt;=$B$4,$B$3+A629-1,"")</f>
        <v/>
      </c>
      <c r="C629">
        <f>IF(B629="","",INDEX(D_LOT,B629)&amp;"")</f>
        <v/>
      </c>
      <c r="D629">
        <f>IF(B629="","",INDEX(D_SEQ,B629))</f>
        <v/>
      </c>
      <c r="E629">
        <f>IF(B629="","",IFERROR(VALUE(INDEX(D_VAL,B629)&amp;""),""))</f>
        <v/>
      </c>
      <c r="F629">
        <f>IF(B629="","",F628+(C629&lt;&gt;C628))</f>
        <v/>
      </c>
      <c r="G629">
        <f>IF(B629="","",F629&amp;"|"&amp;D629)</f>
        <v/>
      </c>
    </row>
    <row r="630">
      <c r="A630" t="n">
        <v>619</v>
      </c>
      <c r="B630">
        <f>IF(A630&lt;=$B$4,$B$3+A630-1,"")</f>
        <v/>
      </c>
      <c r="C630">
        <f>IF(B630="","",INDEX(D_LOT,B630)&amp;"")</f>
        <v/>
      </c>
      <c r="D630">
        <f>IF(B630="","",INDEX(D_SEQ,B630))</f>
        <v/>
      </c>
      <c r="E630">
        <f>IF(B630="","",IFERROR(VALUE(INDEX(D_VAL,B630)&amp;""),""))</f>
        <v/>
      </c>
      <c r="F630">
        <f>IF(B630="","",F629+(C630&lt;&gt;C629))</f>
        <v/>
      </c>
      <c r="G630">
        <f>IF(B630="","",F630&amp;"|"&amp;D630)</f>
        <v/>
      </c>
    </row>
    <row r="631">
      <c r="A631" t="n">
        <v>620</v>
      </c>
      <c r="B631">
        <f>IF(A631&lt;=$B$4,$B$3+A631-1,"")</f>
        <v/>
      </c>
      <c r="C631">
        <f>IF(B631="","",INDEX(D_LOT,B631)&amp;"")</f>
        <v/>
      </c>
      <c r="D631">
        <f>IF(B631="","",INDEX(D_SEQ,B631))</f>
        <v/>
      </c>
      <c r="E631">
        <f>IF(B631="","",IFERROR(VALUE(INDEX(D_VAL,B631)&amp;""),""))</f>
        <v/>
      </c>
      <c r="F631">
        <f>IF(B631="","",F630+(C631&lt;&gt;C630))</f>
        <v/>
      </c>
      <c r="G631">
        <f>IF(B631="","",F631&amp;"|"&amp;D631)</f>
        <v/>
      </c>
    </row>
    <row r="632">
      <c r="A632" t="n">
        <v>621</v>
      </c>
      <c r="B632">
        <f>IF(A632&lt;=$B$4,$B$3+A632-1,"")</f>
        <v/>
      </c>
      <c r="C632">
        <f>IF(B632="","",INDEX(D_LOT,B632)&amp;"")</f>
        <v/>
      </c>
      <c r="D632">
        <f>IF(B632="","",INDEX(D_SEQ,B632))</f>
        <v/>
      </c>
      <c r="E632">
        <f>IF(B632="","",IFERROR(VALUE(INDEX(D_VAL,B632)&amp;""),""))</f>
        <v/>
      </c>
      <c r="F632">
        <f>IF(B632="","",F631+(C632&lt;&gt;C631))</f>
        <v/>
      </c>
      <c r="G632">
        <f>IF(B632="","",F632&amp;"|"&amp;D632)</f>
        <v/>
      </c>
    </row>
    <row r="633">
      <c r="A633" t="n">
        <v>622</v>
      </c>
      <c r="B633">
        <f>IF(A633&lt;=$B$4,$B$3+A633-1,"")</f>
        <v/>
      </c>
      <c r="C633">
        <f>IF(B633="","",INDEX(D_LOT,B633)&amp;"")</f>
        <v/>
      </c>
      <c r="D633">
        <f>IF(B633="","",INDEX(D_SEQ,B633))</f>
        <v/>
      </c>
      <c r="E633">
        <f>IF(B633="","",IFERROR(VALUE(INDEX(D_VAL,B633)&amp;""),""))</f>
        <v/>
      </c>
      <c r="F633">
        <f>IF(B633="","",F632+(C633&lt;&gt;C632))</f>
        <v/>
      </c>
      <c r="G633">
        <f>IF(B633="","",F633&amp;"|"&amp;D633)</f>
        <v/>
      </c>
    </row>
    <row r="634">
      <c r="A634" t="n">
        <v>623</v>
      </c>
      <c r="B634">
        <f>IF(A634&lt;=$B$4,$B$3+A634-1,"")</f>
        <v/>
      </c>
      <c r="C634">
        <f>IF(B634="","",INDEX(D_LOT,B634)&amp;"")</f>
        <v/>
      </c>
      <c r="D634">
        <f>IF(B634="","",INDEX(D_SEQ,B634))</f>
        <v/>
      </c>
      <c r="E634">
        <f>IF(B634="","",IFERROR(VALUE(INDEX(D_VAL,B634)&amp;""),""))</f>
        <v/>
      </c>
      <c r="F634">
        <f>IF(B634="","",F633+(C634&lt;&gt;C633))</f>
        <v/>
      </c>
      <c r="G634">
        <f>IF(B634="","",F634&amp;"|"&amp;D634)</f>
        <v/>
      </c>
    </row>
    <row r="635">
      <c r="A635" t="n">
        <v>624</v>
      </c>
      <c r="B635">
        <f>IF(A635&lt;=$B$4,$B$3+A635-1,"")</f>
        <v/>
      </c>
      <c r="C635">
        <f>IF(B635="","",INDEX(D_LOT,B635)&amp;"")</f>
        <v/>
      </c>
      <c r="D635">
        <f>IF(B635="","",INDEX(D_SEQ,B635))</f>
        <v/>
      </c>
      <c r="E635">
        <f>IF(B635="","",IFERROR(VALUE(INDEX(D_VAL,B635)&amp;""),""))</f>
        <v/>
      </c>
      <c r="F635">
        <f>IF(B635="","",F634+(C635&lt;&gt;C634))</f>
        <v/>
      </c>
      <c r="G635">
        <f>IF(B635="","",F635&amp;"|"&amp;D635)</f>
        <v/>
      </c>
    </row>
    <row r="636">
      <c r="A636" t="n">
        <v>625</v>
      </c>
      <c r="B636">
        <f>IF(A636&lt;=$B$4,$B$3+A636-1,"")</f>
        <v/>
      </c>
      <c r="C636">
        <f>IF(B636="","",INDEX(D_LOT,B636)&amp;"")</f>
        <v/>
      </c>
      <c r="D636">
        <f>IF(B636="","",INDEX(D_SEQ,B636))</f>
        <v/>
      </c>
      <c r="E636">
        <f>IF(B636="","",IFERROR(VALUE(INDEX(D_VAL,B636)&amp;""),""))</f>
        <v/>
      </c>
      <c r="F636">
        <f>IF(B636="","",F635+(C636&lt;&gt;C635))</f>
        <v/>
      </c>
      <c r="G636">
        <f>IF(B636="","",F636&amp;"|"&amp;D636)</f>
        <v/>
      </c>
    </row>
    <row r="637">
      <c r="A637" t="n">
        <v>626</v>
      </c>
      <c r="B637">
        <f>IF(A637&lt;=$B$4,$B$3+A637-1,"")</f>
        <v/>
      </c>
      <c r="C637">
        <f>IF(B637="","",INDEX(D_LOT,B637)&amp;"")</f>
        <v/>
      </c>
      <c r="D637">
        <f>IF(B637="","",INDEX(D_SEQ,B637))</f>
        <v/>
      </c>
      <c r="E637">
        <f>IF(B637="","",IFERROR(VALUE(INDEX(D_VAL,B637)&amp;""),""))</f>
        <v/>
      </c>
      <c r="F637">
        <f>IF(B637="","",F636+(C637&lt;&gt;C636))</f>
        <v/>
      </c>
      <c r="G637">
        <f>IF(B637="","",F637&amp;"|"&amp;D637)</f>
        <v/>
      </c>
    </row>
    <row r="638">
      <c r="A638" t="n">
        <v>627</v>
      </c>
      <c r="B638">
        <f>IF(A638&lt;=$B$4,$B$3+A638-1,"")</f>
        <v/>
      </c>
      <c r="C638">
        <f>IF(B638="","",INDEX(D_LOT,B638)&amp;"")</f>
        <v/>
      </c>
      <c r="D638">
        <f>IF(B638="","",INDEX(D_SEQ,B638))</f>
        <v/>
      </c>
      <c r="E638">
        <f>IF(B638="","",IFERROR(VALUE(INDEX(D_VAL,B638)&amp;""),""))</f>
        <v/>
      </c>
      <c r="F638">
        <f>IF(B638="","",F637+(C638&lt;&gt;C637))</f>
        <v/>
      </c>
      <c r="G638">
        <f>IF(B638="","",F638&amp;"|"&amp;D638)</f>
        <v/>
      </c>
    </row>
    <row r="639">
      <c r="A639" t="n">
        <v>628</v>
      </c>
      <c r="B639">
        <f>IF(A639&lt;=$B$4,$B$3+A639-1,"")</f>
        <v/>
      </c>
      <c r="C639">
        <f>IF(B639="","",INDEX(D_LOT,B639)&amp;"")</f>
        <v/>
      </c>
      <c r="D639">
        <f>IF(B639="","",INDEX(D_SEQ,B639))</f>
        <v/>
      </c>
      <c r="E639">
        <f>IF(B639="","",IFERROR(VALUE(INDEX(D_VAL,B639)&amp;""),""))</f>
        <v/>
      </c>
      <c r="F639">
        <f>IF(B639="","",F638+(C639&lt;&gt;C638))</f>
        <v/>
      </c>
      <c r="G639">
        <f>IF(B639="","",F639&amp;"|"&amp;D639)</f>
        <v/>
      </c>
    </row>
    <row r="640">
      <c r="A640" t="n">
        <v>629</v>
      </c>
      <c r="B640">
        <f>IF(A640&lt;=$B$4,$B$3+A640-1,"")</f>
        <v/>
      </c>
      <c r="C640">
        <f>IF(B640="","",INDEX(D_LOT,B640)&amp;"")</f>
        <v/>
      </c>
      <c r="D640">
        <f>IF(B640="","",INDEX(D_SEQ,B640))</f>
        <v/>
      </c>
      <c r="E640">
        <f>IF(B640="","",IFERROR(VALUE(INDEX(D_VAL,B640)&amp;""),""))</f>
        <v/>
      </c>
      <c r="F640">
        <f>IF(B640="","",F639+(C640&lt;&gt;C639))</f>
        <v/>
      </c>
      <c r="G640">
        <f>IF(B640="","",F640&amp;"|"&amp;D640)</f>
        <v/>
      </c>
    </row>
    <row r="641">
      <c r="A641" t="n">
        <v>630</v>
      </c>
      <c r="B641">
        <f>IF(A641&lt;=$B$4,$B$3+A641-1,"")</f>
        <v/>
      </c>
      <c r="C641">
        <f>IF(B641="","",INDEX(D_LOT,B641)&amp;"")</f>
        <v/>
      </c>
      <c r="D641">
        <f>IF(B641="","",INDEX(D_SEQ,B641))</f>
        <v/>
      </c>
      <c r="E641">
        <f>IF(B641="","",IFERROR(VALUE(INDEX(D_VAL,B641)&amp;""),""))</f>
        <v/>
      </c>
      <c r="F641">
        <f>IF(B641="","",F640+(C641&lt;&gt;C640))</f>
        <v/>
      </c>
      <c r="G641">
        <f>IF(B641="","",F641&amp;"|"&amp;D641)</f>
        <v/>
      </c>
    </row>
    <row r="642">
      <c r="A642" t="n">
        <v>631</v>
      </c>
      <c r="B642">
        <f>IF(A642&lt;=$B$4,$B$3+A642-1,"")</f>
        <v/>
      </c>
      <c r="C642">
        <f>IF(B642="","",INDEX(D_LOT,B642)&amp;"")</f>
        <v/>
      </c>
      <c r="D642">
        <f>IF(B642="","",INDEX(D_SEQ,B642))</f>
        <v/>
      </c>
      <c r="E642">
        <f>IF(B642="","",IFERROR(VALUE(INDEX(D_VAL,B642)&amp;""),""))</f>
        <v/>
      </c>
      <c r="F642">
        <f>IF(B642="","",F641+(C642&lt;&gt;C641))</f>
        <v/>
      </c>
      <c r="G642">
        <f>IF(B642="","",F642&amp;"|"&amp;D642)</f>
        <v/>
      </c>
    </row>
    <row r="643">
      <c r="A643" t="n">
        <v>632</v>
      </c>
      <c r="B643">
        <f>IF(A643&lt;=$B$4,$B$3+A643-1,"")</f>
        <v/>
      </c>
      <c r="C643">
        <f>IF(B643="","",INDEX(D_LOT,B643)&amp;"")</f>
        <v/>
      </c>
      <c r="D643">
        <f>IF(B643="","",INDEX(D_SEQ,B643))</f>
        <v/>
      </c>
      <c r="E643">
        <f>IF(B643="","",IFERROR(VALUE(INDEX(D_VAL,B643)&amp;""),""))</f>
        <v/>
      </c>
      <c r="F643">
        <f>IF(B643="","",F642+(C643&lt;&gt;C642))</f>
        <v/>
      </c>
      <c r="G643">
        <f>IF(B643="","",F643&amp;"|"&amp;D643)</f>
        <v/>
      </c>
    </row>
    <row r="644">
      <c r="A644" t="n">
        <v>633</v>
      </c>
      <c r="B644">
        <f>IF(A644&lt;=$B$4,$B$3+A644-1,"")</f>
        <v/>
      </c>
      <c r="C644">
        <f>IF(B644="","",INDEX(D_LOT,B644)&amp;"")</f>
        <v/>
      </c>
      <c r="D644">
        <f>IF(B644="","",INDEX(D_SEQ,B644))</f>
        <v/>
      </c>
      <c r="E644">
        <f>IF(B644="","",IFERROR(VALUE(INDEX(D_VAL,B644)&amp;""),""))</f>
        <v/>
      </c>
      <c r="F644">
        <f>IF(B644="","",F643+(C644&lt;&gt;C643))</f>
        <v/>
      </c>
      <c r="G644">
        <f>IF(B644="","",F644&amp;"|"&amp;D644)</f>
        <v/>
      </c>
    </row>
    <row r="645">
      <c r="A645" t="n">
        <v>634</v>
      </c>
      <c r="B645">
        <f>IF(A645&lt;=$B$4,$B$3+A645-1,"")</f>
        <v/>
      </c>
      <c r="C645">
        <f>IF(B645="","",INDEX(D_LOT,B645)&amp;"")</f>
        <v/>
      </c>
      <c r="D645">
        <f>IF(B645="","",INDEX(D_SEQ,B645))</f>
        <v/>
      </c>
      <c r="E645">
        <f>IF(B645="","",IFERROR(VALUE(INDEX(D_VAL,B645)&amp;""),""))</f>
        <v/>
      </c>
      <c r="F645">
        <f>IF(B645="","",F644+(C645&lt;&gt;C644))</f>
        <v/>
      </c>
      <c r="G645">
        <f>IF(B645="","",F645&amp;"|"&amp;D645)</f>
        <v/>
      </c>
    </row>
    <row r="646">
      <c r="A646" t="n">
        <v>635</v>
      </c>
      <c r="B646">
        <f>IF(A646&lt;=$B$4,$B$3+A646-1,"")</f>
        <v/>
      </c>
      <c r="C646">
        <f>IF(B646="","",INDEX(D_LOT,B646)&amp;"")</f>
        <v/>
      </c>
      <c r="D646">
        <f>IF(B646="","",INDEX(D_SEQ,B646))</f>
        <v/>
      </c>
      <c r="E646">
        <f>IF(B646="","",IFERROR(VALUE(INDEX(D_VAL,B646)&amp;""),""))</f>
        <v/>
      </c>
      <c r="F646">
        <f>IF(B646="","",F645+(C646&lt;&gt;C645))</f>
        <v/>
      </c>
      <c r="G646">
        <f>IF(B646="","",F646&amp;"|"&amp;D646)</f>
        <v/>
      </c>
    </row>
    <row r="647">
      <c r="A647" t="n">
        <v>636</v>
      </c>
      <c r="B647">
        <f>IF(A647&lt;=$B$4,$B$3+A647-1,"")</f>
        <v/>
      </c>
      <c r="C647">
        <f>IF(B647="","",INDEX(D_LOT,B647)&amp;"")</f>
        <v/>
      </c>
      <c r="D647">
        <f>IF(B647="","",INDEX(D_SEQ,B647))</f>
        <v/>
      </c>
      <c r="E647">
        <f>IF(B647="","",IFERROR(VALUE(INDEX(D_VAL,B647)&amp;""),""))</f>
        <v/>
      </c>
      <c r="F647">
        <f>IF(B647="","",F646+(C647&lt;&gt;C646))</f>
        <v/>
      </c>
      <c r="G647">
        <f>IF(B647="","",F647&amp;"|"&amp;D647)</f>
        <v/>
      </c>
    </row>
    <row r="648">
      <c r="A648" t="n">
        <v>637</v>
      </c>
      <c r="B648">
        <f>IF(A648&lt;=$B$4,$B$3+A648-1,"")</f>
        <v/>
      </c>
      <c r="C648">
        <f>IF(B648="","",INDEX(D_LOT,B648)&amp;"")</f>
        <v/>
      </c>
      <c r="D648">
        <f>IF(B648="","",INDEX(D_SEQ,B648))</f>
        <v/>
      </c>
      <c r="E648">
        <f>IF(B648="","",IFERROR(VALUE(INDEX(D_VAL,B648)&amp;""),""))</f>
        <v/>
      </c>
      <c r="F648">
        <f>IF(B648="","",F647+(C648&lt;&gt;C647))</f>
        <v/>
      </c>
      <c r="G648">
        <f>IF(B648="","",F648&amp;"|"&amp;D648)</f>
        <v/>
      </c>
    </row>
    <row r="649">
      <c r="A649" t="n">
        <v>638</v>
      </c>
      <c r="B649">
        <f>IF(A649&lt;=$B$4,$B$3+A649-1,"")</f>
        <v/>
      </c>
      <c r="C649">
        <f>IF(B649="","",INDEX(D_LOT,B649)&amp;"")</f>
        <v/>
      </c>
      <c r="D649">
        <f>IF(B649="","",INDEX(D_SEQ,B649))</f>
        <v/>
      </c>
      <c r="E649">
        <f>IF(B649="","",IFERROR(VALUE(INDEX(D_VAL,B649)&amp;""),""))</f>
        <v/>
      </c>
      <c r="F649">
        <f>IF(B649="","",F648+(C649&lt;&gt;C648))</f>
        <v/>
      </c>
      <c r="G649">
        <f>IF(B649="","",F649&amp;"|"&amp;D649)</f>
        <v/>
      </c>
    </row>
    <row r="650">
      <c r="A650" t="n">
        <v>639</v>
      </c>
      <c r="B650">
        <f>IF(A650&lt;=$B$4,$B$3+A650-1,"")</f>
        <v/>
      </c>
      <c r="C650">
        <f>IF(B650="","",INDEX(D_LOT,B650)&amp;"")</f>
        <v/>
      </c>
      <c r="D650">
        <f>IF(B650="","",INDEX(D_SEQ,B650))</f>
        <v/>
      </c>
      <c r="E650">
        <f>IF(B650="","",IFERROR(VALUE(INDEX(D_VAL,B650)&amp;""),""))</f>
        <v/>
      </c>
      <c r="F650">
        <f>IF(B650="","",F649+(C650&lt;&gt;C649))</f>
        <v/>
      </c>
      <c r="G650">
        <f>IF(B650="","",F650&amp;"|"&amp;D650)</f>
        <v/>
      </c>
    </row>
    <row r="651">
      <c r="A651" t="n">
        <v>640</v>
      </c>
      <c r="B651">
        <f>IF(A651&lt;=$B$4,$B$3+A651-1,"")</f>
        <v/>
      </c>
      <c r="C651">
        <f>IF(B651="","",INDEX(D_LOT,B651)&amp;"")</f>
        <v/>
      </c>
      <c r="D651">
        <f>IF(B651="","",INDEX(D_SEQ,B651))</f>
        <v/>
      </c>
      <c r="E651">
        <f>IF(B651="","",IFERROR(VALUE(INDEX(D_VAL,B651)&amp;""),""))</f>
        <v/>
      </c>
      <c r="F651">
        <f>IF(B651="","",F650+(C651&lt;&gt;C650))</f>
        <v/>
      </c>
      <c r="G651">
        <f>IF(B651="","",F651&amp;"|"&amp;D651)</f>
        <v/>
      </c>
    </row>
    <row r="652">
      <c r="A652" t="n">
        <v>641</v>
      </c>
      <c r="B652">
        <f>IF(A652&lt;=$B$4,$B$3+A652-1,"")</f>
        <v/>
      </c>
      <c r="C652">
        <f>IF(B652="","",INDEX(D_LOT,B652)&amp;"")</f>
        <v/>
      </c>
      <c r="D652">
        <f>IF(B652="","",INDEX(D_SEQ,B652))</f>
        <v/>
      </c>
      <c r="E652">
        <f>IF(B652="","",IFERROR(VALUE(INDEX(D_VAL,B652)&amp;""),""))</f>
        <v/>
      </c>
      <c r="F652">
        <f>IF(B652="","",F651+(C652&lt;&gt;C651))</f>
        <v/>
      </c>
      <c r="G652">
        <f>IF(B652="","",F652&amp;"|"&amp;D652)</f>
        <v/>
      </c>
    </row>
    <row r="653">
      <c r="A653" t="n">
        <v>642</v>
      </c>
      <c r="B653">
        <f>IF(A653&lt;=$B$4,$B$3+A653-1,"")</f>
        <v/>
      </c>
      <c r="C653">
        <f>IF(B653="","",INDEX(D_LOT,B653)&amp;"")</f>
        <v/>
      </c>
      <c r="D653">
        <f>IF(B653="","",INDEX(D_SEQ,B653))</f>
        <v/>
      </c>
      <c r="E653">
        <f>IF(B653="","",IFERROR(VALUE(INDEX(D_VAL,B653)&amp;""),""))</f>
        <v/>
      </c>
      <c r="F653">
        <f>IF(B653="","",F652+(C653&lt;&gt;C652))</f>
        <v/>
      </c>
      <c r="G653">
        <f>IF(B653="","",F653&amp;"|"&amp;D653)</f>
        <v/>
      </c>
    </row>
    <row r="654">
      <c r="A654" t="n">
        <v>643</v>
      </c>
      <c r="B654">
        <f>IF(A654&lt;=$B$4,$B$3+A654-1,"")</f>
        <v/>
      </c>
      <c r="C654">
        <f>IF(B654="","",INDEX(D_LOT,B654)&amp;"")</f>
        <v/>
      </c>
      <c r="D654">
        <f>IF(B654="","",INDEX(D_SEQ,B654))</f>
        <v/>
      </c>
      <c r="E654">
        <f>IF(B654="","",IFERROR(VALUE(INDEX(D_VAL,B654)&amp;""),""))</f>
        <v/>
      </c>
      <c r="F654">
        <f>IF(B654="","",F653+(C654&lt;&gt;C653))</f>
        <v/>
      </c>
      <c r="G654">
        <f>IF(B654="","",F654&amp;"|"&amp;D654)</f>
        <v/>
      </c>
    </row>
    <row r="655">
      <c r="A655" t="n">
        <v>644</v>
      </c>
      <c r="B655">
        <f>IF(A655&lt;=$B$4,$B$3+A655-1,"")</f>
        <v/>
      </c>
      <c r="C655">
        <f>IF(B655="","",INDEX(D_LOT,B655)&amp;"")</f>
        <v/>
      </c>
      <c r="D655">
        <f>IF(B655="","",INDEX(D_SEQ,B655))</f>
        <v/>
      </c>
      <c r="E655">
        <f>IF(B655="","",IFERROR(VALUE(INDEX(D_VAL,B655)&amp;""),""))</f>
        <v/>
      </c>
      <c r="F655">
        <f>IF(B655="","",F654+(C655&lt;&gt;C654))</f>
        <v/>
      </c>
      <c r="G655">
        <f>IF(B655="","",F655&amp;"|"&amp;D655)</f>
        <v/>
      </c>
    </row>
    <row r="656">
      <c r="A656" t="n">
        <v>645</v>
      </c>
      <c r="B656">
        <f>IF(A656&lt;=$B$4,$B$3+A656-1,"")</f>
        <v/>
      </c>
      <c r="C656">
        <f>IF(B656="","",INDEX(D_LOT,B656)&amp;"")</f>
        <v/>
      </c>
      <c r="D656">
        <f>IF(B656="","",INDEX(D_SEQ,B656))</f>
        <v/>
      </c>
      <c r="E656">
        <f>IF(B656="","",IFERROR(VALUE(INDEX(D_VAL,B656)&amp;""),""))</f>
        <v/>
      </c>
      <c r="F656">
        <f>IF(B656="","",F655+(C656&lt;&gt;C655))</f>
        <v/>
      </c>
      <c r="G656">
        <f>IF(B656="","",F656&amp;"|"&amp;D656)</f>
        <v/>
      </c>
    </row>
    <row r="657">
      <c r="A657" t="n">
        <v>646</v>
      </c>
      <c r="B657">
        <f>IF(A657&lt;=$B$4,$B$3+A657-1,"")</f>
        <v/>
      </c>
      <c r="C657">
        <f>IF(B657="","",INDEX(D_LOT,B657)&amp;"")</f>
        <v/>
      </c>
      <c r="D657">
        <f>IF(B657="","",INDEX(D_SEQ,B657))</f>
        <v/>
      </c>
      <c r="E657">
        <f>IF(B657="","",IFERROR(VALUE(INDEX(D_VAL,B657)&amp;""),""))</f>
        <v/>
      </c>
      <c r="F657">
        <f>IF(B657="","",F656+(C657&lt;&gt;C656))</f>
        <v/>
      </c>
      <c r="G657">
        <f>IF(B657="","",F657&amp;"|"&amp;D657)</f>
        <v/>
      </c>
    </row>
    <row r="658">
      <c r="A658" t="n">
        <v>647</v>
      </c>
      <c r="B658">
        <f>IF(A658&lt;=$B$4,$B$3+A658-1,"")</f>
        <v/>
      </c>
      <c r="C658">
        <f>IF(B658="","",INDEX(D_LOT,B658)&amp;"")</f>
        <v/>
      </c>
      <c r="D658">
        <f>IF(B658="","",INDEX(D_SEQ,B658))</f>
        <v/>
      </c>
      <c r="E658">
        <f>IF(B658="","",IFERROR(VALUE(INDEX(D_VAL,B658)&amp;""),""))</f>
        <v/>
      </c>
      <c r="F658">
        <f>IF(B658="","",F657+(C658&lt;&gt;C657))</f>
        <v/>
      </c>
      <c r="G658">
        <f>IF(B658="","",F658&amp;"|"&amp;D658)</f>
        <v/>
      </c>
    </row>
    <row r="659">
      <c r="A659" t="n">
        <v>648</v>
      </c>
      <c r="B659">
        <f>IF(A659&lt;=$B$4,$B$3+A659-1,"")</f>
        <v/>
      </c>
      <c r="C659">
        <f>IF(B659="","",INDEX(D_LOT,B659)&amp;"")</f>
        <v/>
      </c>
      <c r="D659">
        <f>IF(B659="","",INDEX(D_SEQ,B659))</f>
        <v/>
      </c>
      <c r="E659">
        <f>IF(B659="","",IFERROR(VALUE(INDEX(D_VAL,B659)&amp;""),""))</f>
        <v/>
      </c>
      <c r="F659">
        <f>IF(B659="","",F658+(C659&lt;&gt;C658))</f>
        <v/>
      </c>
      <c r="G659">
        <f>IF(B659="","",F659&amp;"|"&amp;D659)</f>
        <v/>
      </c>
    </row>
    <row r="660">
      <c r="A660" t="n">
        <v>649</v>
      </c>
      <c r="B660">
        <f>IF(A660&lt;=$B$4,$B$3+A660-1,"")</f>
        <v/>
      </c>
      <c r="C660">
        <f>IF(B660="","",INDEX(D_LOT,B660)&amp;"")</f>
        <v/>
      </c>
      <c r="D660">
        <f>IF(B660="","",INDEX(D_SEQ,B660))</f>
        <v/>
      </c>
      <c r="E660">
        <f>IF(B660="","",IFERROR(VALUE(INDEX(D_VAL,B660)&amp;""),""))</f>
        <v/>
      </c>
      <c r="F660">
        <f>IF(B660="","",F659+(C660&lt;&gt;C659))</f>
        <v/>
      </c>
      <c r="G660">
        <f>IF(B660="","",F660&amp;"|"&amp;D660)</f>
        <v/>
      </c>
    </row>
    <row r="661">
      <c r="A661" t="n">
        <v>650</v>
      </c>
      <c r="B661">
        <f>IF(A661&lt;=$B$4,$B$3+A661-1,"")</f>
        <v/>
      </c>
      <c r="C661">
        <f>IF(B661="","",INDEX(D_LOT,B661)&amp;"")</f>
        <v/>
      </c>
      <c r="D661">
        <f>IF(B661="","",INDEX(D_SEQ,B661))</f>
        <v/>
      </c>
      <c r="E661">
        <f>IF(B661="","",IFERROR(VALUE(INDEX(D_VAL,B661)&amp;""),""))</f>
        <v/>
      </c>
      <c r="F661">
        <f>IF(B661="","",F660+(C661&lt;&gt;C660))</f>
        <v/>
      </c>
      <c r="G661">
        <f>IF(B661="","",F661&amp;"|"&amp;D661)</f>
        <v/>
      </c>
    </row>
    <row r="662">
      <c r="A662" t="n">
        <v>651</v>
      </c>
      <c r="B662">
        <f>IF(A662&lt;=$B$4,$B$3+A662-1,"")</f>
        <v/>
      </c>
      <c r="C662">
        <f>IF(B662="","",INDEX(D_LOT,B662)&amp;"")</f>
        <v/>
      </c>
      <c r="D662">
        <f>IF(B662="","",INDEX(D_SEQ,B662))</f>
        <v/>
      </c>
      <c r="E662">
        <f>IF(B662="","",IFERROR(VALUE(INDEX(D_VAL,B662)&amp;""),""))</f>
        <v/>
      </c>
      <c r="F662">
        <f>IF(B662="","",F661+(C662&lt;&gt;C661))</f>
        <v/>
      </c>
      <c r="G662">
        <f>IF(B662="","",F662&amp;"|"&amp;D662)</f>
        <v/>
      </c>
    </row>
    <row r="663">
      <c r="A663" t="n">
        <v>652</v>
      </c>
      <c r="B663">
        <f>IF(A663&lt;=$B$4,$B$3+A663-1,"")</f>
        <v/>
      </c>
      <c r="C663">
        <f>IF(B663="","",INDEX(D_LOT,B663)&amp;"")</f>
        <v/>
      </c>
      <c r="D663">
        <f>IF(B663="","",INDEX(D_SEQ,B663))</f>
        <v/>
      </c>
      <c r="E663">
        <f>IF(B663="","",IFERROR(VALUE(INDEX(D_VAL,B663)&amp;""),""))</f>
        <v/>
      </c>
      <c r="F663">
        <f>IF(B663="","",F662+(C663&lt;&gt;C662))</f>
        <v/>
      </c>
      <c r="G663">
        <f>IF(B663="","",F663&amp;"|"&amp;D663)</f>
        <v/>
      </c>
    </row>
    <row r="664">
      <c r="A664" t="n">
        <v>653</v>
      </c>
      <c r="B664">
        <f>IF(A664&lt;=$B$4,$B$3+A664-1,"")</f>
        <v/>
      </c>
      <c r="C664">
        <f>IF(B664="","",INDEX(D_LOT,B664)&amp;"")</f>
        <v/>
      </c>
      <c r="D664">
        <f>IF(B664="","",INDEX(D_SEQ,B664))</f>
        <v/>
      </c>
      <c r="E664">
        <f>IF(B664="","",IFERROR(VALUE(INDEX(D_VAL,B664)&amp;""),""))</f>
        <v/>
      </c>
      <c r="F664">
        <f>IF(B664="","",F663+(C664&lt;&gt;C663))</f>
        <v/>
      </c>
      <c r="G664">
        <f>IF(B664="","",F664&amp;"|"&amp;D664)</f>
        <v/>
      </c>
    </row>
    <row r="665">
      <c r="A665" t="n">
        <v>654</v>
      </c>
      <c r="B665">
        <f>IF(A665&lt;=$B$4,$B$3+A665-1,"")</f>
        <v/>
      </c>
      <c r="C665">
        <f>IF(B665="","",INDEX(D_LOT,B665)&amp;"")</f>
        <v/>
      </c>
      <c r="D665">
        <f>IF(B665="","",INDEX(D_SEQ,B665))</f>
        <v/>
      </c>
      <c r="E665">
        <f>IF(B665="","",IFERROR(VALUE(INDEX(D_VAL,B665)&amp;""),""))</f>
        <v/>
      </c>
      <c r="F665">
        <f>IF(B665="","",F664+(C665&lt;&gt;C664))</f>
        <v/>
      </c>
      <c r="G665">
        <f>IF(B665="","",F665&amp;"|"&amp;D665)</f>
        <v/>
      </c>
    </row>
    <row r="666">
      <c r="A666" t="n">
        <v>655</v>
      </c>
      <c r="B666">
        <f>IF(A666&lt;=$B$4,$B$3+A666-1,"")</f>
        <v/>
      </c>
      <c r="C666">
        <f>IF(B666="","",INDEX(D_LOT,B666)&amp;"")</f>
        <v/>
      </c>
      <c r="D666">
        <f>IF(B666="","",INDEX(D_SEQ,B666))</f>
        <v/>
      </c>
      <c r="E666">
        <f>IF(B666="","",IFERROR(VALUE(INDEX(D_VAL,B666)&amp;""),""))</f>
        <v/>
      </c>
      <c r="F666">
        <f>IF(B666="","",F665+(C666&lt;&gt;C665))</f>
        <v/>
      </c>
      <c r="G666">
        <f>IF(B666="","",F666&amp;"|"&amp;D666)</f>
        <v/>
      </c>
    </row>
    <row r="667">
      <c r="A667" t="n">
        <v>656</v>
      </c>
      <c r="B667">
        <f>IF(A667&lt;=$B$4,$B$3+A667-1,"")</f>
        <v/>
      </c>
      <c r="C667">
        <f>IF(B667="","",INDEX(D_LOT,B667)&amp;"")</f>
        <v/>
      </c>
      <c r="D667">
        <f>IF(B667="","",INDEX(D_SEQ,B667))</f>
        <v/>
      </c>
      <c r="E667">
        <f>IF(B667="","",IFERROR(VALUE(INDEX(D_VAL,B667)&amp;""),""))</f>
        <v/>
      </c>
      <c r="F667">
        <f>IF(B667="","",F666+(C667&lt;&gt;C666))</f>
        <v/>
      </c>
      <c r="G667">
        <f>IF(B667="","",F667&amp;"|"&amp;D667)</f>
        <v/>
      </c>
    </row>
    <row r="668">
      <c r="A668" t="n">
        <v>657</v>
      </c>
      <c r="B668">
        <f>IF(A668&lt;=$B$4,$B$3+A668-1,"")</f>
        <v/>
      </c>
      <c r="C668">
        <f>IF(B668="","",INDEX(D_LOT,B668)&amp;"")</f>
        <v/>
      </c>
      <c r="D668">
        <f>IF(B668="","",INDEX(D_SEQ,B668))</f>
        <v/>
      </c>
      <c r="E668">
        <f>IF(B668="","",IFERROR(VALUE(INDEX(D_VAL,B668)&amp;""),""))</f>
        <v/>
      </c>
      <c r="F668">
        <f>IF(B668="","",F667+(C668&lt;&gt;C667))</f>
        <v/>
      </c>
      <c r="G668">
        <f>IF(B668="","",F668&amp;"|"&amp;D668)</f>
        <v/>
      </c>
    </row>
    <row r="669">
      <c r="A669" t="n">
        <v>658</v>
      </c>
      <c r="B669">
        <f>IF(A669&lt;=$B$4,$B$3+A669-1,"")</f>
        <v/>
      </c>
      <c r="C669">
        <f>IF(B669="","",INDEX(D_LOT,B669)&amp;"")</f>
        <v/>
      </c>
      <c r="D669">
        <f>IF(B669="","",INDEX(D_SEQ,B669))</f>
        <v/>
      </c>
      <c r="E669">
        <f>IF(B669="","",IFERROR(VALUE(INDEX(D_VAL,B669)&amp;""),""))</f>
        <v/>
      </c>
      <c r="F669">
        <f>IF(B669="","",F668+(C669&lt;&gt;C668))</f>
        <v/>
      </c>
      <c r="G669">
        <f>IF(B669="","",F669&amp;"|"&amp;D669)</f>
        <v/>
      </c>
    </row>
    <row r="670">
      <c r="A670" t="n">
        <v>659</v>
      </c>
      <c r="B670">
        <f>IF(A670&lt;=$B$4,$B$3+A670-1,"")</f>
        <v/>
      </c>
      <c r="C670">
        <f>IF(B670="","",INDEX(D_LOT,B670)&amp;"")</f>
        <v/>
      </c>
      <c r="D670">
        <f>IF(B670="","",INDEX(D_SEQ,B670))</f>
        <v/>
      </c>
      <c r="E670">
        <f>IF(B670="","",IFERROR(VALUE(INDEX(D_VAL,B670)&amp;""),""))</f>
        <v/>
      </c>
      <c r="F670">
        <f>IF(B670="","",F669+(C670&lt;&gt;C669))</f>
        <v/>
      </c>
      <c r="G670">
        <f>IF(B670="","",F670&amp;"|"&amp;D670)</f>
        <v/>
      </c>
    </row>
    <row r="671">
      <c r="A671" t="n">
        <v>660</v>
      </c>
      <c r="B671">
        <f>IF(A671&lt;=$B$4,$B$3+A671-1,"")</f>
        <v/>
      </c>
      <c r="C671">
        <f>IF(B671="","",INDEX(D_LOT,B671)&amp;"")</f>
        <v/>
      </c>
      <c r="D671">
        <f>IF(B671="","",INDEX(D_SEQ,B671))</f>
        <v/>
      </c>
      <c r="E671">
        <f>IF(B671="","",IFERROR(VALUE(INDEX(D_VAL,B671)&amp;""),""))</f>
        <v/>
      </c>
      <c r="F671">
        <f>IF(B671="","",F670+(C671&lt;&gt;C670))</f>
        <v/>
      </c>
      <c r="G671">
        <f>IF(B671="","",F671&amp;"|"&amp;D671)</f>
        <v/>
      </c>
    </row>
    <row r="672">
      <c r="A672" t="n">
        <v>661</v>
      </c>
      <c r="B672">
        <f>IF(A672&lt;=$B$4,$B$3+A672-1,"")</f>
        <v/>
      </c>
      <c r="C672">
        <f>IF(B672="","",INDEX(D_LOT,B672)&amp;"")</f>
        <v/>
      </c>
      <c r="D672">
        <f>IF(B672="","",INDEX(D_SEQ,B672))</f>
        <v/>
      </c>
      <c r="E672">
        <f>IF(B672="","",IFERROR(VALUE(INDEX(D_VAL,B672)&amp;""),""))</f>
        <v/>
      </c>
      <c r="F672">
        <f>IF(B672="","",F671+(C672&lt;&gt;C671))</f>
        <v/>
      </c>
      <c r="G672">
        <f>IF(B672="","",F672&amp;"|"&amp;D672)</f>
        <v/>
      </c>
    </row>
    <row r="673">
      <c r="A673" t="n">
        <v>662</v>
      </c>
      <c r="B673">
        <f>IF(A673&lt;=$B$4,$B$3+A673-1,"")</f>
        <v/>
      </c>
      <c r="C673">
        <f>IF(B673="","",INDEX(D_LOT,B673)&amp;"")</f>
        <v/>
      </c>
      <c r="D673">
        <f>IF(B673="","",INDEX(D_SEQ,B673))</f>
        <v/>
      </c>
      <c r="E673">
        <f>IF(B673="","",IFERROR(VALUE(INDEX(D_VAL,B673)&amp;""),""))</f>
        <v/>
      </c>
      <c r="F673">
        <f>IF(B673="","",F672+(C673&lt;&gt;C672))</f>
        <v/>
      </c>
      <c r="G673">
        <f>IF(B673="","",F673&amp;"|"&amp;D673)</f>
        <v/>
      </c>
    </row>
    <row r="674">
      <c r="A674" t="n">
        <v>663</v>
      </c>
      <c r="B674">
        <f>IF(A674&lt;=$B$4,$B$3+A674-1,"")</f>
        <v/>
      </c>
      <c r="C674">
        <f>IF(B674="","",INDEX(D_LOT,B674)&amp;"")</f>
        <v/>
      </c>
      <c r="D674">
        <f>IF(B674="","",INDEX(D_SEQ,B674))</f>
        <v/>
      </c>
      <c r="E674">
        <f>IF(B674="","",IFERROR(VALUE(INDEX(D_VAL,B674)&amp;""),""))</f>
        <v/>
      </c>
      <c r="F674">
        <f>IF(B674="","",F673+(C674&lt;&gt;C673))</f>
        <v/>
      </c>
      <c r="G674">
        <f>IF(B674="","",F674&amp;"|"&amp;D674)</f>
        <v/>
      </c>
    </row>
    <row r="675">
      <c r="A675" t="n">
        <v>664</v>
      </c>
      <c r="B675">
        <f>IF(A675&lt;=$B$4,$B$3+A675-1,"")</f>
        <v/>
      </c>
      <c r="C675">
        <f>IF(B675="","",INDEX(D_LOT,B675)&amp;"")</f>
        <v/>
      </c>
      <c r="D675">
        <f>IF(B675="","",INDEX(D_SEQ,B675))</f>
        <v/>
      </c>
      <c r="E675">
        <f>IF(B675="","",IFERROR(VALUE(INDEX(D_VAL,B675)&amp;""),""))</f>
        <v/>
      </c>
      <c r="F675">
        <f>IF(B675="","",F674+(C675&lt;&gt;C674))</f>
        <v/>
      </c>
      <c r="G675">
        <f>IF(B675="","",F675&amp;"|"&amp;D675)</f>
        <v/>
      </c>
    </row>
    <row r="676">
      <c r="A676" t="n">
        <v>665</v>
      </c>
      <c r="B676">
        <f>IF(A676&lt;=$B$4,$B$3+A676-1,"")</f>
        <v/>
      </c>
      <c r="C676">
        <f>IF(B676="","",INDEX(D_LOT,B676)&amp;"")</f>
        <v/>
      </c>
      <c r="D676">
        <f>IF(B676="","",INDEX(D_SEQ,B676))</f>
        <v/>
      </c>
      <c r="E676">
        <f>IF(B676="","",IFERROR(VALUE(INDEX(D_VAL,B676)&amp;""),""))</f>
        <v/>
      </c>
      <c r="F676">
        <f>IF(B676="","",F675+(C676&lt;&gt;C675))</f>
        <v/>
      </c>
      <c r="G676">
        <f>IF(B676="","",F676&amp;"|"&amp;D676)</f>
        <v/>
      </c>
    </row>
    <row r="677">
      <c r="A677" t="n">
        <v>666</v>
      </c>
      <c r="B677">
        <f>IF(A677&lt;=$B$4,$B$3+A677-1,"")</f>
        <v/>
      </c>
      <c r="C677">
        <f>IF(B677="","",INDEX(D_LOT,B677)&amp;"")</f>
        <v/>
      </c>
      <c r="D677">
        <f>IF(B677="","",INDEX(D_SEQ,B677))</f>
        <v/>
      </c>
      <c r="E677">
        <f>IF(B677="","",IFERROR(VALUE(INDEX(D_VAL,B677)&amp;""),""))</f>
        <v/>
      </c>
      <c r="F677">
        <f>IF(B677="","",F676+(C677&lt;&gt;C676))</f>
        <v/>
      </c>
      <c r="G677">
        <f>IF(B677="","",F677&amp;"|"&amp;D677)</f>
        <v/>
      </c>
    </row>
    <row r="678">
      <c r="A678" t="n">
        <v>667</v>
      </c>
      <c r="B678">
        <f>IF(A678&lt;=$B$4,$B$3+A678-1,"")</f>
        <v/>
      </c>
      <c r="C678">
        <f>IF(B678="","",INDEX(D_LOT,B678)&amp;"")</f>
        <v/>
      </c>
      <c r="D678">
        <f>IF(B678="","",INDEX(D_SEQ,B678))</f>
        <v/>
      </c>
      <c r="E678">
        <f>IF(B678="","",IFERROR(VALUE(INDEX(D_VAL,B678)&amp;""),""))</f>
        <v/>
      </c>
      <c r="F678">
        <f>IF(B678="","",F677+(C678&lt;&gt;C677))</f>
        <v/>
      </c>
      <c r="G678">
        <f>IF(B678="","",F678&amp;"|"&amp;D678)</f>
        <v/>
      </c>
    </row>
    <row r="679">
      <c r="A679" t="n">
        <v>668</v>
      </c>
      <c r="B679">
        <f>IF(A679&lt;=$B$4,$B$3+A679-1,"")</f>
        <v/>
      </c>
      <c r="C679">
        <f>IF(B679="","",INDEX(D_LOT,B679)&amp;"")</f>
        <v/>
      </c>
      <c r="D679">
        <f>IF(B679="","",INDEX(D_SEQ,B679))</f>
        <v/>
      </c>
      <c r="E679">
        <f>IF(B679="","",IFERROR(VALUE(INDEX(D_VAL,B679)&amp;""),""))</f>
        <v/>
      </c>
      <c r="F679">
        <f>IF(B679="","",F678+(C679&lt;&gt;C678))</f>
        <v/>
      </c>
      <c r="G679">
        <f>IF(B679="","",F679&amp;"|"&amp;D679)</f>
        <v/>
      </c>
    </row>
    <row r="680">
      <c r="A680" t="n">
        <v>669</v>
      </c>
      <c r="B680">
        <f>IF(A680&lt;=$B$4,$B$3+A680-1,"")</f>
        <v/>
      </c>
      <c r="C680">
        <f>IF(B680="","",INDEX(D_LOT,B680)&amp;"")</f>
        <v/>
      </c>
      <c r="D680">
        <f>IF(B680="","",INDEX(D_SEQ,B680))</f>
        <v/>
      </c>
      <c r="E680">
        <f>IF(B680="","",IFERROR(VALUE(INDEX(D_VAL,B680)&amp;""),""))</f>
        <v/>
      </c>
      <c r="F680">
        <f>IF(B680="","",F679+(C680&lt;&gt;C679))</f>
        <v/>
      </c>
      <c r="G680">
        <f>IF(B680="","",F680&amp;"|"&amp;D680)</f>
        <v/>
      </c>
    </row>
    <row r="681">
      <c r="A681" t="n">
        <v>670</v>
      </c>
      <c r="B681">
        <f>IF(A681&lt;=$B$4,$B$3+A681-1,"")</f>
        <v/>
      </c>
      <c r="C681">
        <f>IF(B681="","",INDEX(D_LOT,B681)&amp;"")</f>
        <v/>
      </c>
      <c r="D681">
        <f>IF(B681="","",INDEX(D_SEQ,B681))</f>
        <v/>
      </c>
      <c r="E681">
        <f>IF(B681="","",IFERROR(VALUE(INDEX(D_VAL,B681)&amp;""),""))</f>
        <v/>
      </c>
      <c r="F681">
        <f>IF(B681="","",F680+(C681&lt;&gt;C680))</f>
        <v/>
      </c>
      <c r="G681">
        <f>IF(B681="","",F681&amp;"|"&amp;D681)</f>
        <v/>
      </c>
    </row>
    <row r="682">
      <c r="A682" t="n">
        <v>671</v>
      </c>
      <c r="B682">
        <f>IF(A682&lt;=$B$4,$B$3+A682-1,"")</f>
        <v/>
      </c>
      <c r="C682">
        <f>IF(B682="","",INDEX(D_LOT,B682)&amp;"")</f>
        <v/>
      </c>
      <c r="D682">
        <f>IF(B682="","",INDEX(D_SEQ,B682))</f>
        <v/>
      </c>
      <c r="E682">
        <f>IF(B682="","",IFERROR(VALUE(INDEX(D_VAL,B682)&amp;""),""))</f>
        <v/>
      </c>
      <c r="F682">
        <f>IF(B682="","",F681+(C682&lt;&gt;C681))</f>
        <v/>
      </c>
      <c r="G682">
        <f>IF(B682="","",F682&amp;"|"&amp;D682)</f>
        <v/>
      </c>
    </row>
    <row r="683">
      <c r="A683" t="n">
        <v>672</v>
      </c>
      <c r="B683">
        <f>IF(A683&lt;=$B$4,$B$3+A683-1,"")</f>
        <v/>
      </c>
      <c r="C683">
        <f>IF(B683="","",INDEX(D_LOT,B683)&amp;"")</f>
        <v/>
      </c>
      <c r="D683">
        <f>IF(B683="","",INDEX(D_SEQ,B683))</f>
        <v/>
      </c>
      <c r="E683">
        <f>IF(B683="","",IFERROR(VALUE(INDEX(D_VAL,B683)&amp;""),""))</f>
        <v/>
      </c>
      <c r="F683">
        <f>IF(B683="","",F682+(C683&lt;&gt;C682))</f>
        <v/>
      </c>
      <c r="G683">
        <f>IF(B683="","",F683&amp;"|"&amp;D683)</f>
        <v/>
      </c>
    </row>
    <row r="684">
      <c r="A684" t="n">
        <v>673</v>
      </c>
      <c r="B684">
        <f>IF(A684&lt;=$B$4,$B$3+A684-1,"")</f>
        <v/>
      </c>
      <c r="C684">
        <f>IF(B684="","",INDEX(D_LOT,B684)&amp;"")</f>
        <v/>
      </c>
      <c r="D684">
        <f>IF(B684="","",INDEX(D_SEQ,B684))</f>
        <v/>
      </c>
      <c r="E684">
        <f>IF(B684="","",IFERROR(VALUE(INDEX(D_VAL,B684)&amp;""),""))</f>
        <v/>
      </c>
      <c r="F684">
        <f>IF(B684="","",F683+(C684&lt;&gt;C683))</f>
        <v/>
      </c>
      <c r="G684">
        <f>IF(B684="","",F684&amp;"|"&amp;D684)</f>
        <v/>
      </c>
    </row>
    <row r="685">
      <c r="A685" t="n">
        <v>674</v>
      </c>
      <c r="B685">
        <f>IF(A685&lt;=$B$4,$B$3+A685-1,"")</f>
        <v/>
      </c>
      <c r="C685">
        <f>IF(B685="","",INDEX(D_LOT,B685)&amp;"")</f>
        <v/>
      </c>
      <c r="D685">
        <f>IF(B685="","",INDEX(D_SEQ,B685))</f>
        <v/>
      </c>
      <c r="E685">
        <f>IF(B685="","",IFERROR(VALUE(INDEX(D_VAL,B685)&amp;""),""))</f>
        <v/>
      </c>
      <c r="F685">
        <f>IF(B685="","",F684+(C685&lt;&gt;C684))</f>
        <v/>
      </c>
      <c r="G685">
        <f>IF(B685="","",F685&amp;"|"&amp;D685)</f>
        <v/>
      </c>
    </row>
    <row r="686">
      <c r="A686" t="n">
        <v>675</v>
      </c>
      <c r="B686">
        <f>IF(A686&lt;=$B$4,$B$3+A686-1,"")</f>
        <v/>
      </c>
      <c r="C686">
        <f>IF(B686="","",INDEX(D_LOT,B686)&amp;"")</f>
        <v/>
      </c>
      <c r="D686">
        <f>IF(B686="","",INDEX(D_SEQ,B686))</f>
        <v/>
      </c>
      <c r="E686">
        <f>IF(B686="","",IFERROR(VALUE(INDEX(D_VAL,B686)&amp;""),""))</f>
        <v/>
      </c>
      <c r="F686">
        <f>IF(B686="","",F685+(C686&lt;&gt;C685))</f>
        <v/>
      </c>
      <c r="G686">
        <f>IF(B686="","",F686&amp;"|"&amp;D686)</f>
        <v/>
      </c>
    </row>
    <row r="687">
      <c r="A687" t="n">
        <v>676</v>
      </c>
      <c r="B687">
        <f>IF(A687&lt;=$B$4,$B$3+A687-1,"")</f>
        <v/>
      </c>
      <c r="C687">
        <f>IF(B687="","",INDEX(D_LOT,B687)&amp;"")</f>
        <v/>
      </c>
      <c r="D687">
        <f>IF(B687="","",INDEX(D_SEQ,B687))</f>
        <v/>
      </c>
      <c r="E687">
        <f>IF(B687="","",IFERROR(VALUE(INDEX(D_VAL,B687)&amp;""),""))</f>
        <v/>
      </c>
      <c r="F687">
        <f>IF(B687="","",F686+(C687&lt;&gt;C686))</f>
        <v/>
      </c>
      <c r="G687">
        <f>IF(B687="","",F687&amp;"|"&amp;D687)</f>
        <v/>
      </c>
    </row>
    <row r="688">
      <c r="A688" t="n">
        <v>677</v>
      </c>
      <c r="B688">
        <f>IF(A688&lt;=$B$4,$B$3+A688-1,"")</f>
        <v/>
      </c>
      <c r="C688">
        <f>IF(B688="","",INDEX(D_LOT,B688)&amp;"")</f>
        <v/>
      </c>
      <c r="D688">
        <f>IF(B688="","",INDEX(D_SEQ,B688))</f>
        <v/>
      </c>
      <c r="E688">
        <f>IF(B688="","",IFERROR(VALUE(INDEX(D_VAL,B688)&amp;""),""))</f>
        <v/>
      </c>
      <c r="F688">
        <f>IF(B688="","",F687+(C688&lt;&gt;C687))</f>
        <v/>
      </c>
      <c r="G688">
        <f>IF(B688="","",F688&amp;"|"&amp;D688)</f>
        <v/>
      </c>
    </row>
    <row r="689">
      <c r="A689" t="n">
        <v>678</v>
      </c>
      <c r="B689">
        <f>IF(A689&lt;=$B$4,$B$3+A689-1,"")</f>
        <v/>
      </c>
      <c r="C689">
        <f>IF(B689="","",INDEX(D_LOT,B689)&amp;"")</f>
        <v/>
      </c>
      <c r="D689">
        <f>IF(B689="","",INDEX(D_SEQ,B689))</f>
        <v/>
      </c>
      <c r="E689">
        <f>IF(B689="","",IFERROR(VALUE(INDEX(D_VAL,B689)&amp;""),""))</f>
        <v/>
      </c>
      <c r="F689">
        <f>IF(B689="","",F688+(C689&lt;&gt;C688))</f>
        <v/>
      </c>
      <c r="G689">
        <f>IF(B689="","",F689&amp;"|"&amp;D689)</f>
        <v/>
      </c>
    </row>
    <row r="690">
      <c r="A690" t="n">
        <v>679</v>
      </c>
      <c r="B690">
        <f>IF(A690&lt;=$B$4,$B$3+A690-1,"")</f>
        <v/>
      </c>
      <c r="C690">
        <f>IF(B690="","",INDEX(D_LOT,B690)&amp;"")</f>
        <v/>
      </c>
      <c r="D690">
        <f>IF(B690="","",INDEX(D_SEQ,B690))</f>
        <v/>
      </c>
      <c r="E690">
        <f>IF(B690="","",IFERROR(VALUE(INDEX(D_VAL,B690)&amp;""),""))</f>
        <v/>
      </c>
      <c r="F690">
        <f>IF(B690="","",F689+(C690&lt;&gt;C689))</f>
        <v/>
      </c>
      <c r="G690">
        <f>IF(B690="","",F690&amp;"|"&amp;D690)</f>
        <v/>
      </c>
    </row>
    <row r="691">
      <c r="A691" t="n">
        <v>680</v>
      </c>
      <c r="B691">
        <f>IF(A691&lt;=$B$4,$B$3+A691-1,"")</f>
        <v/>
      </c>
      <c r="C691">
        <f>IF(B691="","",INDEX(D_LOT,B691)&amp;"")</f>
        <v/>
      </c>
      <c r="D691">
        <f>IF(B691="","",INDEX(D_SEQ,B691))</f>
        <v/>
      </c>
      <c r="E691">
        <f>IF(B691="","",IFERROR(VALUE(INDEX(D_VAL,B691)&amp;""),""))</f>
        <v/>
      </c>
      <c r="F691">
        <f>IF(B691="","",F690+(C691&lt;&gt;C690))</f>
        <v/>
      </c>
      <c r="G691">
        <f>IF(B691="","",F691&amp;"|"&amp;D691)</f>
        <v/>
      </c>
    </row>
    <row r="692">
      <c r="A692" t="n">
        <v>681</v>
      </c>
      <c r="B692">
        <f>IF(A692&lt;=$B$4,$B$3+A692-1,"")</f>
        <v/>
      </c>
      <c r="C692">
        <f>IF(B692="","",INDEX(D_LOT,B692)&amp;"")</f>
        <v/>
      </c>
      <c r="D692">
        <f>IF(B692="","",INDEX(D_SEQ,B692))</f>
        <v/>
      </c>
      <c r="E692">
        <f>IF(B692="","",IFERROR(VALUE(INDEX(D_VAL,B692)&amp;""),""))</f>
        <v/>
      </c>
      <c r="F692">
        <f>IF(B692="","",F691+(C692&lt;&gt;C691))</f>
        <v/>
      </c>
      <c r="G692">
        <f>IF(B692="","",F692&amp;"|"&amp;D692)</f>
        <v/>
      </c>
    </row>
    <row r="693">
      <c r="A693" t="n">
        <v>682</v>
      </c>
      <c r="B693">
        <f>IF(A693&lt;=$B$4,$B$3+A693-1,"")</f>
        <v/>
      </c>
      <c r="C693">
        <f>IF(B693="","",INDEX(D_LOT,B693)&amp;"")</f>
        <v/>
      </c>
      <c r="D693">
        <f>IF(B693="","",INDEX(D_SEQ,B693))</f>
        <v/>
      </c>
      <c r="E693">
        <f>IF(B693="","",IFERROR(VALUE(INDEX(D_VAL,B693)&amp;""),""))</f>
        <v/>
      </c>
      <c r="F693">
        <f>IF(B693="","",F692+(C693&lt;&gt;C692))</f>
        <v/>
      </c>
      <c r="G693">
        <f>IF(B693="","",F693&amp;"|"&amp;D693)</f>
        <v/>
      </c>
    </row>
    <row r="694">
      <c r="A694" t="n">
        <v>683</v>
      </c>
      <c r="B694">
        <f>IF(A694&lt;=$B$4,$B$3+A694-1,"")</f>
        <v/>
      </c>
      <c r="C694">
        <f>IF(B694="","",INDEX(D_LOT,B694)&amp;"")</f>
        <v/>
      </c>
      <c r="D694">
        <f>IF(B694="","",INDEX(D_SEQ,B694))</f>
        <v/>
      </c>
      <c r="E694">
        <f>IF(B694="","",IFERROR(VALUE(INDEX(D_VAL,B694)&amp;""),""))</f>
        <v/>
      </c>
      <c r="F694">
        <f>IF(B694="","",F693+(C694&lt;&gt;C693))</f>
        <v/>
      </c>
      <c r="G694">
        <f>IF(B694="","",F694&amp;"|"&amp;D694)</f>
        <v/>
      </c>
    </row>
    <row r="695">
      <c r="A695" t="n">
        <v>684</v>
      </c>
      <c r="B695">
        <f>IF(A695&lt;=$B$4,$B$3+A695-1,"")</f>
        <v/>
      </c>
      <c r="C695">
        <f>IF(B695="","",INDEX(D_LOT,B695)&amp;"")</f>
        <v/>
      </c>
      <c r="D695">
        <f>IF(B695="","",INDEX(D_SEQ,B695))</f>
        <v/>
      </c>
      <c r="E695">
        <f>IF(B695="","",IFERROR(VALUE(INDEX(D_VAL,B695)&amp;""),""))</f>
        <v/>
      </c>
      <c r="F695">
        <f>IF(B695="","",F694+(C695&lt;&gt;C694))</f>
        <v/>
      </c>
      <c r="G695">
        <f>IF(B695="","",F695&amp;"|"&amp;D695)</f>
        <v/>
      </c>
    </row>
    <row r="696">
      <c r="A696" t="n">
        <v>685</v>
      </c>
      <c r="B696">
        <f>IF(A696&lt;=$B$4,$B$3+A696-1,"")</f>
        <v/>
      </c>
      <c r="C696">
        <f>IF(B696="","",INDEX(D_LOT,B696)&amp;"")</f>
        <v/>
      </c>
      <c r="D696">
        <f>IF(B696="","",INDEX(D_SEQ,B696))</f>
        <v/>
      </c>
      <c r="E696">
        <f>IF(B696="","",IFERROR(VALUE(INDEX(D_VAL,B696)&amp;""),""))</f>
        <v/>
      </c>
      <c r="F696">
        <f>IF(B696="","",F695+(C696&lt;&gt;C695))</f>
        <v/>
      </c>
      <c r="G696">
        <f>IF(B696="","",F696&amp;"|"&amp;D696)</f>
        <v/>
      </c>
    </row>
    <row r="697">
      <c r="A697" t="n">
        <v>686</v>
      </c>
      <c r="B697">
        <f>IF(A697&lt;=$B$4,$B$3+A697-1,"")</f>
        <v/>
      </c>
      <c r="C697">
        <f>IF(B697="","",INDEX(D_LOT,B697)&amp;"")</f>
        <v/>
      </c>
      <c r="D697">
        <f>IF(B697="","",INDEX(D_SEQ,B697))</f>
        <v/>
      </c>
      <c r="E697">
        <f>IF(B697="","",IFERROR(VALUE(INDEX(D_VAL,B697)&amp;""),""))</f>
        <v/>
      </c>
      <c r="F697">
        <f>IF(B697="","",F696+(C697&lt;&gt;C696))</f>
        <v/>
      </c>
      <c r="G697">
        <f>IF(B697="","",F697&amp;"|"&amp;D697)</f>
        <v/>
      </c>
    </row>
    <row r="698">
      <c r="A698" t="n">
        <v>687</v>
      </c>
      <c r="B698">
        <f>IF(A698&lt;=$B$4,$B$3+A698-1,"")</f>
        <v/>
      </c>
      <c r="C698">
        <f>IF(B698="","",INDEX(D_LOT,B698)&amp;"")</f>
        <v/>
      </c>
      <c r="D698">
        <f>IF(B698="","",INDEX(D_SEQ,B698))</f>
        <v/>
      </c>
      <c r="E698">
        <f>IF(B698="","",IFERROR(VALUE(INDEX(D_VAL,B698)&amp;""),""))</f>
        <v/>
      </c>
      <c r="F698">
        <f>IF(B698="","",F697+(C698&lt;&gt;C697))</f>
        <v/>
      </c>
      <c r="G698">
        <f>IF(B698="","",F698&amp;"|"&amp;D698)</f>
        <v/>
      </c>
    </row>
    <row r="699">
      <c r="A699" t="n">
        <v>688</v>
      </c>
      <c r="B699">
        <f>IF(A699&lt;=$B$4,$B$3+A699-1,"")</f>
        <v/>
      </c>
      <c r="C699">
        <f>IF(B699="","",INDEX(D_LOT,B699)&amp;"")</f>
        <v/>
      </c>
      <c r="D699">
        <f>IF(B699="","",INDEX(D_SEQ,B699))</f>
        <v/>
      </c>
      <c r="E699">
        <f>IF(B699="","",IFERROR(VALUE(INDEX(D_VAL,B699)&amp;""),""))</f>
        <v/>
      </c>
      <c r="F699">
        <f>IF(B699="","",F698+(C699&lt;&gt;C698))</f>
        <v/>
      </c>
      <c r="G699">
        <f>IF(B699="","",F699&amp;"|"&amp;D699)</f>
        <v/>
      </c>
    </row>
    <row r="700">
      <c r="A700" t="n">
        <v>689</v>
      </c>
      <c r="B700">
        <f>IF(A700&lt;=$B$4,$B$3+A700-1,"")</f>
        <v/>
      </c>
      <c r="C700">
        <f>IF(B700="","",INDEX(D_LOT,B700)&amp;"")</f>
        <v/>
      </c>
      <c r="D700">
        <f>IF(B700="","",INDEX(D_SEQ,B700))</f>
        <v/>
      </c>
      <c r="E700">
        <f>IF(B700="","",IFERROR(VALUE(INDEX(D_VAL,B700)&amp;""),""))</f>
        <v/>
      </c>
      <c r="F700">
        <f>IF(B700="","",F699+(C700&lt;&gt;C699))</f>
        <v/>
      </c>
      <c r="G700">
        <f>IF(B700="","",F700&amp;"|"&amp;D700)</f>
        <v/>
      </c>
    </row>
    <row r="701">
      <c r="A701" t="n">
        <v>690</v>
      </c>
      <c r="B701">
        <f>IF(A701&lt;=$B$4,$B$3+A701-1,"")</f>
        <v/>
      </c>
      <c r="C701">
        <f>IF(B701="","",INDEX(D_LOT,B701)&amp;"")</f>
        <v/>
      </c>
      <c r="D701">
        <f>IF(B701="","",INDEX(D_SEQ,B701))</f>
        <v/>
      </c>
      <c r="E701">
        <f>IF(B701="","",IFERROR(VALUE(INDEX(D_VAL,B701)&amp;""),""))</f>
        <v/>
      </c>
      <c r="F701">
        <f>IF(B701="","",F700+(C701&lt;&gt;C700))</f>
        <v/>
      </c>
      <c r="G701">
        <f>IF(B701="","",F701&amp;"|"&amp;D701)</f>
        <v/>
      </c>
    </row>
    <row r="702">
      <c r="A702" t="n">
        <v>691</v>
      </c>
      <c r="B702">
        <f>IF(A702&lt;=$B$4,$B$3+A702-1,"")</f>
        <v/>
      </c>
      <c r="C702">
        <f>IF(B702="","",INDEX(D_LOT,B702)&amp;"")</f>
        <v/>
      </c>
      <c r="D702">
        <f>IF(B702="","",INDEX(D_SEQ,B702))</f>
        <v/>
      </c>
      <c r="E702">
        <f>IF(B702="","",IFERROR(VALUE(INDEX(D_VAL,B702)&amp;""),""))</f>
        <v/>
      </c>
      <c r="F702">
        <f>IF(B702="","",F701+(C702&lt;&gt;C701))</f>
        <v/>
      </c>
      <c r="G702">
        <f>IF(B702="","",F702&amp;"|"&amp;D702)</f>
        <v/>
      </c>
    </row>
    <row r="703">
      <c r="A703" t="n">
        <v>692</v>
      </c>
      <c r="B703">
        <f>IF(A703&lt;=$B$4,$B$3+A703-1,"")</f>
        <v/>
      </c>
      <c r="C703">
        <f>IF(B703="","",INDEX(D_LOT,B703)&amp;"")</f>
        <v/>
      </c>
      <c r="D703">
        <f>IF(B703="","",INDEX(D_SEQ,B703))</f>
        <v/>
      </c>
      <c r="E703">
        <f>IF(B703="","",IFERROR(VALUE(INDEX(D_VAL,B703)&amp;""),""))</f>
        <v/>
      </c>
      <c r="F703">
        <f>IF(B703="","",F702+(C703&lt;&gt;C702))</f>
        <v/>
      </c>
      <c r="G703">
        <f>IF(B703="","",F703&amp;"|"&amp;D703)</f>
        <v/>
      </c>
    </row>
    <row r="704">
      <c r="A704" t="n">
        <v>693</v>
      </c>
      <c r="B704">
        <f>IF(A704&lt;=$B$4,$B$3+A704-1,"")</f>
        <v/>
      </c>
      <c r="C704">
        <f>IF(B704="","",INDEX(D_LOT,B704)&amp;"")</f>
        <v/>
      </c>
      <c r="D704">
        <f>IF(B704="","",INDEX(D_SEQ,B704))</f>
        <v/>
      </c>
      <c r="E704">
        <f>IF(B704="","",IFERROR(VALUE(INDEX(D_VAL,B704)&amp;""),""))</f>
        <v/>
      </c>
      <c r="F704">
        <f>IF(B704="","",F703+(C704&lt;&gt;C703))</f>
        <v/>
      </c>
      <c r="G704">
        <f>IF(B704="","",F704&amp;"|"&amp;D704)</f>
        <v/>
      </c>
    </row>
    <row r="705">
      <c r="A705" t="n">
        <v>694</v>
      </c>
      <c r="B705">
        <f>IF(A705&lt;=$B$4,$B$3+A705-1,"")</f>
        <v/>
      </c>
      <c r="C705">
        <f>IF(B705="","",INDEX(D_LOT,B705)&amp;"")</f>
        <v/>
      </c>
      <c r="D705">
        <f>IF(B705="","",INDEX(D_SEQ,B705))</f>
        <v/>
      </c>
      <c r="E705">
        <f>IF(B705="","",IFERROR(VALUE(INDEX(D_VAL,B705)&amp;""),""))</f>
        <v/>
      </c>
      <c r="F705">
        <f>IF(B705="","",F704+(C705&lt;&gt;C704))</f>
        <v/>
      </c>
      <c r="G705">
        <f>IF(B705="","",F705&amp;"|"&amp;D705)</f>
        <v/>
      </c>
    </row>
    <row r="706">
      <c r="A706" t="n">
        <v>695</v>
      </c>
      <c r="B706">
        <f>IF(A706&lt;=$B$4,$B$3+A706-1,"")</f>
        <v/>
      </c>
      <c r="C706">
        <f>IF(B706="","",INDEX(D_LOT,B706)&amp;"")</f>
        <v/>
      </c>
      <c r="D706">
        <f>IF(B706="","",INDEX(D_SEQ,B706))</f>
        <v/>
      </c>
      <c r="E706">
        <f>IF(B706="","",IFERROR(VALUE(INDEX(D_VAL,B706)&amp;""),""))</f>
        <v/>
      </c>
      <c r="F706">
        <f>IF(B706="","",F705+(C706&lt;&gt;C705))</f>
        <v/>
      </c>
      <c r="G706">
        <f>IF(B706="","",F706&amp;"|"&amp;D706)</f>
        <v/>
      </c>
    </row>
    <row r="707">
      <c r="A707" t="n">
        <v>696</v>
      </c>
      <c r="B707">
        <f>IF(A707&lt;=$B$4,$B$3+A707-1,"")</f>
        <v/>
      </c>
      <c r="C707">
        <f>IF(B707="","",INDEX(D_LOT,B707)&amp;"")</f>
        <v/>
      </c>
      <c r="D707">
        <f>IF(B707="","",INDEX(D_SEQ,B707))</f>
        <v/>
      </c>
      <c r="E707">
        <f>IF(B707="","",IFERROR(VALUE(INDEX(D_VAL,B707)&amp;""),""))</f>
        <v/>
      </c>
      <c r="F707">
        <f>IF(B707="","",F706+(C707&lt;&gt;C706))</f>
        <v/>
      </c>
      <c r="G707">
        <f>IF(B707="","",F707&amp;"|"&amp;D707)</f>
        <v/>
      </c>
    </row>
    <row r="708">
      <c r="A708" t="n">
        <v>697</v>
      </c>
      <c r="B708">
        <f>IF(A708&lt;=$B$4,$B$3+A708-1,"")</f>
        <v/>
      </c>
      <c r="C708">
        <f>IF(B708="","",INDEX(D_LOT,B708)&amp;"")</f>
        <v/>
      </c>
      <c r="D708">
        <f>IF(B708="","",INDEX(D_SEQ,B708))</f>
        <v/>
      </c>
      <c r="E708">
        <f>IF(B708="","",IFERROR(VALUE(INDEX(D_VAL,B708)&amp;""),""))</f>
        <v/>
      </c>
      <c r="F708">
        <f>IF(B708="","",F707+(C708&lt;&gt;C707))</f>
        <v/>
      </c>
      <c r="G708">
        <f>IF(B708="","",F708&amp;"|"&amp;D708)</f>
        <v/>
      </c>
    </row>
    <row r="709">
      <c r="A709" t="n">
        <v>698</v>
      </c>
      <c r="B709">
        <f>IF(A709&lt;=$B$4,$B$3+A709-1,"")</f>
        <v/>
      </c>
      <c r="C709">
        <f>IF(B709="","",INDEX(D_LOT,B709)&amp;"")</f>
        <v/>
      </c>
      <c r="D709">
        <f>IF(B709="","",INDEX(D_SEQ,B709))</f>
        <v/>
      </c>
      <c r="E709">
        <f>IF(B709="","",IFERROR(VALUE(INDEX(D_VAL,B709)&amp;""),""))</f>
        <v/>
      </c>
      <c r="F709">
        <f>IF(B709="","",F708+(C709&lt;&gt;C708))</f>
        <v/>
      </c>
      <c r="G709">
        <f>IF(B709="","",F709&amp;"|"&amp;D709)</f>
        <v/>
      </c>
    </row>
    <row r="710">
      <c r="A710" t="n">
        <v>699</v>
      </c>
      <c r="B710">
        <f>IF(A710&lt;=$B$4,$B$3+A710-1,"")</f>
        <v/>
      </c>
      <c r="C710">
        <f>IF(B710="","",INDEX(D_LOT,B710)&amp;"")</f>
        <v/>
      </c>
      <c r="D710">
        <f>IF(B710="","",INDEX(D_SEQ,B710))</f>
        <v/>
      </c>
      <c r="E710">
        <f>IF(B710="","",IFERROR(VALUE(INDEX(D_VAL,B710)&amp;""),""))</f>
        <v/>
      </c>
      <c r="F710">
        <f>IF(B710="","",F709+(C710&lt;&gt;C709))</f>
        <v/>
      </c>
      <c r="G710">
        <f>IF(B710="","",F710&amp;"|"&amp;D710)</f>
        <v/>
      </c>
    </row>
    <row r="711">
      <c r="A711" t="n">
        <v>700</v>
      </c>
      <c r="B711">
        <f>IF(A711&lt;=$B$4,$B$3+A711-1,"")</f>
        <v/>
      </c>
      <c r="C711">
        <f>IF(B711="","",INDEX(D_LOT,B711)&amp;"")</f>
        <v/>
      </c>
      <c r="D711">
        <f>IF(B711="","",INDEX(D_SEQ,B711))</f>
        <v/>
      </c>
      <c r="E711">
        <f>IF(B711="","",IFERROR(VALUE(INDEX(D_VAL,B711)&amp;""),""))</f>
        <v/>
      </c>
      <c r="F711">
        <f>IF(B711="","",F710+(C711&lt;&gt;C710))</f>
        <v/>
      </c>
      <c r="G711">
        <f>IF(B711="","",F711&amp;"|"&amp;D711)</f>
        <v/>
      </c>
    </row>
    <row r="712">
      <c r="A712" t="n">
        <v>701</v>
      </c>
      <c r="B712">
        <f>IF(A712&lt;=$B$4,$B$3+A712-1,"")</f>
        <v/>
      </c>
      <c r="C712">
        <f>IF(B712="","",INDEX(D_LOT,B712)&amp;"")</f>
        <v/>
      </c>
      <c r="D712">
        <f>IF(B712="","",INDEX(D_SEQ,B712))</f>
        <v/>
      </c>
      <c r="E712">
        <f>IF(B712="","",IFERROR(VALUE(INDEX(D_VAL,B712)&amp;""),""))</f>
        <v/>
      </c>
      <c r="F712">
        <f>IF(B712="","",F711+(C712&lt;&gt;C711))</f>
        <v/>
      </c>
      <c r="G712">
        <f>IF(B712="","",F712&amp;"|"&amp;D712)</f>
        <v/>
      </c>
    </row>
    <row r="713">
      <c r="A713" t="n">
        <v>702</v>
      </c>
      <c r="B713">
        <f>IF(A713&lt;=$B$4,$B$3+A713-1,"")</f>
        <v/>
      </c>
      <c r="C713">
        <f>IF(B713="","",INDEX(D_LOT,B713)&amp;"")</f>
        <v/>
      </c>
      <c r="D713">
        <f>IF(B713="","",INDEX(D_SEQ,B713))</f>
        <v/>
      </c>
      <c r="E713">
        <f>IF(B713="","",IFERROR(VALUE(INDEX(D_VAL,B713)&amp;""),""))</f>
        <v/>
      </c>
      <c r="F713">
        <f>IF(B713="","",F712+(C713&lt;&gt;C712))</f>
        <v/>
      </c>
      <c r="G713">
        <f>IF(B713="","",F713&amp;"|"&amp;D713)</f>
        <v/>
      </c>
    </row>
    <row r="714">
      <c r="A714" t="n">
        <v>703</v>
      </c>
      <c r="B714">
        <f>IF(A714&lt;=$B$4,$B$3+A714-1,"")</f>
        <v/>
      </c>
      <c r="C714">
        <f>IF(B714="","",INDEX(D_LOT,B714)&amp;"")</f>
        <v/>
      </c>
      <c r="D714">
        <f>IF(B714="","",INDEX(D_SEQ,B714))</f>
        <v/>
      </c>
      <c r="E714">
        <f>IF(B714="","",IFERROR(VALUE(INDEX(D_VAL,B714)&amp;""),""))</f>
        <v/>
      </c>
      <c r="F714">
        <f>IF(B714="","",F713+(C714&lt;&gt;C713))</f>
        <v/>
      </c>
      <c r="G714">
        <f>IF(B714="","",F714&amp;"|"&amp;D714)</f>
        <v/>
      </c>
    </row>
    <row r="715">
      <c r="A715" t="n">
        <v>704</v>
      </c>
      <c r="B715">
        <f>IF(A715&lt;=$B$4,$B$3+A715-1,"")</f>
        <v/>
      </c>
      <c r="C715">
        <f>IF(B715="","",INDEX(D_LOT,B715)&amp;"")</f>
        <v/>
      </c>
      <c r="D715">
        <f>IF(B715="","",INDEX(D_SEQ,B715))</f>
        <v/>
      </c>
      <c r="E715">
        <f>IF(B715="","",IFERROR(VALUE(INDEX(D_VAL,B715)&amp;""),""))</f>
        <v/>
      </c>
      <c r="F715">
        <f>IF(B715="","",F714+(C715&lt;&gt;C714))</f>
        <v/>
      </c>
      <c r="G715">
        <f>IF(B715="","",F715&amp;"|"&amp;D715)</f>
        <v/>
      </c>
    </row>
    <row r="716">
      <c r="A716" t="n">
        <v>705</v>
      </c>
      <c r="B716">
        <f>IF(A716&lt;=$B$4,$B$3+A716-1,"")</f>
        <v/>
      </c>
      <c r="C716">
        <f>IF(B716="","",INDEX(D_LOT,B716)&amp;"")</f>
        <v/>
      </c>
      <c r="D716">
        <f>IF(B716="","",INDEX(D_SEQ,B716))</f>
        <v/>
      </c>
      <c r="E716">
        <f>IF(B716="","",IFERROR(VALUE(INDEX(D_VAL,B716)&amp;""),""))</f>
        <v/>
      </c>
      <c r="F716">
        <f>IF(B716="","",F715+(C716&lt;&gt;C715))</f>
        <v/>
      </c>
      <c r="G716">
        <f>IF(B716="","",F716&amp;"|"&amp;D716)</f>
        <v/>
      </c>
    </row>
    <row r="717">
      <c r="A717" t="n">
        <v>706</v>
      </c>
      <c r="B717">
        <f>IF(A717&lt;=$B$4,$B$3+A717-1,"")</f>
        <v/>
      </c>
      <c r="C717">
        <f>IF(B717="","",INDEX(D_LOT,B717)&amp;"")</f>
        <v/>
      </c>
      <c r="D717">
        <f>IF(B717="","",INDEX(D_SEQ,B717))</f>
        <v/>
      </c>
      <c r="E717">
        <f>IF(B717="","",IFERROR(VALUE(INDEX(D_VAL,B717)&amp;""),""))</f>
        <v/>
      </c>
      <c r="F717">
        <f>IF(B717="","",F716+(C717&lt;&gt;C716))</f>
        <v/>
      </c>
      <c r="G717">
        <f>IF(B717="","",F717&amp;"|"&amp;D717)</f>
        <v/>
      </c>
    </row>
    <row r="718">
      <c r="A718" t="n">
        <v>707</v>
      </c>
      <c r="B718">
        <f>IF(A718&lt;=$B$4,$B$3+A718-1,"")</f>
        <v/>
      </c>
      <c r="C718">
        <f>IF(B718="","",INDEX(D_LOT,B718)&amp;"")</f>
        <v/>
      </c>
      <c r="D718">
        <f>IF(B718="","",INDEX(D_SEQ,B718))</f>
        <v/>
      </c>
      <c r="E718">
        <f>IF(B718="","",IFERROR(VALUE(INDEX(D_VAL,B718)&amp;""),""))</f>
        <v/>
      </c>
      <c r="F718">
        <f>IF(B718="","",F717+(C718&lt;&gt;C717))</f>
        <v/>
      </c>
      <c r="G718">
        <f>IF(B718="","",F718&amp;"|"&amp;D718)</f>
        <v/>
      </c>
    </row>
    <row r="719">
      <c r="A719" t="n">
        <v>708</v>
      </c>
      <c r="B719">
        <f>IF(A719&lt;=$B$4,$B$3+A719-1,"")</f>
        <v/>
      </c>
      <c r="C719">
        <f>IF(B719="","",INDEX(D_LOT,B719)&amp;"")</f>
        <v/>
      </c>
      <c r="D719">
        <f>IF(B719="","",INDEX(D_SEQ,B719))</f>
        <v/>
      </c>
      <c r="E719">
        <f>IF(B719="","",IFERROR(VALUE(INDEX(D_VAL,B719)&amp;""),""))</f>
        <v/>
      </c>
      <c r="F719">
        <f>IF(B719="","",F718+(C719&lt;&gt;C718))</f>
        <v/>
      </c>
      <c r="G719">
        <f>IF(B719="","",F719&amp;"|"&amp;D719)</f>
        <v/>
      </c>
    </row>
    <row r="720">
      <c r="A720" t="n">
        <v>709</v>
      </c>
      <c r="B720">
        <f>IF(A720&lt;=$B$4,$B$3+A720-1,"")</f>
        <v/>
      </c>
      <c r="C720">
        <f>IF(B720="","",INDEX(D_LOT,B720)&amp;"")</f>
        <v/>
      </c>
      <c r="D720">
        <f>IF(B720="","",INDEX(D_SEQ,B720))</f>
        <v/>
      </c>
      <c r="E720">
        <f>IF(B720="","",IFERROR(VALUE(INDEX(D_VAL,B720)&amp;""),""))</f>
        <v/>
      </c>
      <c r="F720">
        <f>IF(B720="","",F719+(C720&lt;&gt;C719))</f>
        <v/>
      </c>
      <c r="G720">
        <f>IF(B720="","",F720&amp;"|"&amp;D720)</f>
        <v/>
      </c>
    </row>
    <row r="721">
      <c r="A721" t="n">
        <v>710</v>
      </c>
      <c r="B721">
        <f>IF(A721&lt;=$B$4,$B$3+A721-1,"")</f>
        <v/>
      </c>
      <c r="C721">
        <f>IF(B721="","",INDEX(D_LOT,B721)&amp;"")</f>
        <v/>
      </c>
      <c r="D721">
        <f>IF(B721="","",INDEX(D_SEQ,B721))</f>
        <v/>
      </c>
      <c r="E721">
        <f>IF(B721="","",IFERROR(VALUE(INDEX(D_VAL,B721)&amp;""),""))</f>
        <v/>
      </c>
      <c r="F721">
        <f>IF(B721="","",F720+(C721&lt;&gt;C720))</f>
        <v/>
      </c>
      <c r="G721">
        <f>IF(B721="","",F721&amp;"|"&amp;D721)</f>
        <v/>
      </c>
    </row>
    <row r="722">
      <c r="A722" t="n">
        <v>711</v>
      </c>
      <c r="B722">
        <f>IF(A722&lt;=$B$4,$B$3+A722-1,"")</f>
        <v/>
      </c>
      <c r="C722">
        <f>IF(B722="","",INDEX(D_LOT,B722)&amp;"")</f>
        <v/>
      </c>
      <c r="D722">
        <f>IF(B722="","",INDEX(D_SEQ,B722))</f>
        <v/>
      </c>
      <c r="E722">
        <f>IF(B722="","",IFERROR(VALUE(INDEX(D_VAL,B722)&amp;""),""))</f>
        <v/>
      </c>
      <c r="F722">
        <f>IF(B722="","",F721+(C722&lt;&gt;C721))</f>
        <v/>
      </c>
      <c r="G722">
        <f>IF(B722="","",F722&amp;"|"&amp;D722)</f>
        <v/>
      </c>
    </row>
    <row r="723">
      <c r="A723" t="n">
        <v>712</v>
      </c>
      <c r="B723">
        <f>IF(A723&lt;=$B$4,$B$3+A723-1,"")</f>
        <v/>
      </c>
      <c r="C723">
        <f>IF(B723="","",INDEX(D_LOT,B723)&amp;"")</f>
        <v/>
      </c>
      <c r="D723">
        <f>IF(B723="","",INDEX(D_SEQ,B723))</f>
        <v/>
      </c>
      <c r="E723">
        <f>IF(B723="","",IFERROR(VALUE(INDEX(D_VAL,B723)&amp;""),""))</f>
        <v/>
      </c>
      <c r="F723">
        <f>IF(B723="","",F722+(C723&lt;&gt;C722))</f>
        <v/>
      </c>
      <c r="G723">
        <f>IF(B723="","",F723&amp;"|"&amp;D723)</f>
        <v/>
      </c>
    </row>
    <row r="724">
      <c r="A724" t="n">
        <v>713</v>
      </c>
      <c r="B724">
        <f>IF(A724&lt;=$B$4,$B$3+A724-1,"")</f>
        <v/>
      </c>
      <c r="C724">
        <f>IF(B724="","",INDEX(D_LOT,B724)&amp;"")</f>
        <v/>
      </c>
      <c r="D724">
        <f>IF(B724="","",INDEX(D_SEQ,B724))</f>
        <v/>
      </c>
      <c r="E724">
        <f>IF(B724="","",IFERROR(VALUE(INDEX(D_VAL,B724)&amp;""),""))</f>
        <v/>
      </c>
      <c r="F724">
        <f>IF(B724="","",F723+(C724&lt;&gt;C723))</f>
        <v/>
      </c>
      <c r="G724">
        <f>IF(B724="","",F724&amp;"|"&amp;D724)</f>
        <v/>
      </c>
    </row>
    <row r="725">
      <c r="A725" t="n">
        <v>714</v>
      </c>
      <c r="B725">
        <f>IF(A725&lt;=$B$4,$B$3+A725-1,"")</f>
        <v/>
      </c>
      <c r="C725">
        <f>IF(B725="","",INDEX(D_LOT,B725)&amp;"")</f>
        <v/>
      </c>
      <c r="D725">
        <f>IF(B725="","",INDEX(D_SEQ,B725))</f>
        <v/>
      </c>
      <c r="E725">
        <f>IF(B725="","",IFERROR(VALUE(INDEX(D_VAL,B725)&amp;""),""))</f>
        <v/>
      </c>
      <c r="F725">
        <f>IF(B725="","",F724+(C725&lt;&gt;C724))</f>
        <v/>
      </c>
      <c r="G725">
        <f>IF(B725="","",F725&amp;"|"&amp;D725)</f>
        <v/>
      </c>
    </row>
    <row r="726">
      <c r="A726" t="n">
        <v>715</v>
      </c>
      <c r="B726">
        <f>IF(A726&lt;=$B$4,$B$3+A726-1,"")</f>
        <v/>
      </c>
      <c r="C726">
        <f>IF(B726="","",INDEX(D_LOT,B726)&amp;"")</f>
        <v/>
      </c>
      <c r="D726">
        <f>IF(B726="","",INDEX(D_SEQ,B726))</f>
        <v/>
      </c>
      <c r="E726">
        <f>IF(B726="","",IFERROR(VALUE(INDEX(D_VAL,B726)&amp;""),""))</f>
        <v/>
      </c>
      <c r="F726">
        <f>IF(B726="","",F725+(C726&lt;&gt;C725))</f>
        <v/>
      </c>
      <c r="G726">
        <f>IF(B726="","",F726&amp;"|"&amp;D726)</f>
        <v/>
      </c>
    </row>
    <row r="727">
      <c r="A727" t="n">
        <v>716</v>
      </c>
      <c r="B727">
        <f>IF(A727&lt;=$B$4,$B$3+A727-1,"")</f>
        <v/>
      </c>
      <c r="C727">
        <f>IF(B727="","",INDEX(D_LOT,B727)&amp;"")</f>
        <v/>
      </c>
      <c r="D727">
        <f>IF(B727="","",INDEX(D_SEQ,B727))</f>
        <v/>
      </c>
      <c r="E727">
        <f>IF(B727="","",IFERROR(VALUE(INDEX(D_VAL,B727)&amp;""),""))</f>
        <v/>
      </c>
      <c r="F727">
        <f>IF(B727="","",F726+(C727&lt;&gt;C726))</f>
        <v/>
      </c>
      <c r="G727">
        <f>IF(B727="","",F727&amp;"|"&amp;D727)</f>
        <v/>
      </c>
    </row>
    <row r="728">
      <c r="A728" t="n">
        <v>717</v>
      </c>
      <c r="B728">
        <f>IF(A728&lt;=$B$4,$B$3+A728-1,"")</f>
        <v/>
      </c>
      <c r="C728">
        <f>IF(B728="","",INDEX(D_LOT,B728)&amp;"")</f>
        <v/>
      </c>
      <c r="D728">
        <f>IF(B728="","",INDEX(D_SEQ,B728))</f>
        <v/>
      </c>
      <c r="E728">
        <f>IF(B728="","",IFERROR(VALUE(INDEX(D_VAL,B728)&amp;""),""))</f>
        <v/>
      </c>
      <c r="F728">
        <f>IF(B728="","",F727+(C728&lt;&gt;C727))</f>
        <v/>
      </c>
      <c r="G728">
        <f>IF(B728="","",F728&amp;"|"&amp;D728)</f>
        <v/>
      </c>
    </row>
    <row r="729">
      <c r="A729" t="n">
        <v>718</v>
      </c>
      <c r="B729">
        <f>IF(A729&lt;=$B$4,$B$3+A729-1,"")</f>
        <v/>
      </c>
      <c r="C729">
        <f>IF(B729="","",INDEX(D_LOT,B729)&amp;"")</f>
        <v/>
      </c>
      <c r="D729">
        <f>IF(B729="","",INDEX(D_SEQ,B729))</f>
        <v/>
      </c>
      <c r="E729">
        <f>IF(B729="","",IFERROR(VALUE(INDEX(D_VAL,B729)&amp;""),""))</f>
        <v/>
      </c>
      <c r="F729">
        <f>IF(B729="","",F728+(C729&lt;&gt;C728))</f>
        <v/>
      </c>
      <c r="G729">
        <f>IF(B729="","",F729&amp;"|"&amp;D729)</f>
        <v/>
      </c>
    </row>
    <row r="730">
      <c r="A730" t="n">
        <v>719</v>
      </c>
      <c r="B730">
        <f>IF(A730&lt;=$B$4,$B$3+A730-1,"")</f>
        <v/>
      </c>
      <c r="C730">
        <f>IF(B730="","",INDEX(D_LOT,B730)&amp;"")</f>
        <v/>
      </c>
      <c r="D730">
        <f>IF(B730="","",INDEX(D_SEQ,B730))</f>
        <v/>
      </c>
      <c r="E730">
        <f>IF(B730="","",IFERROR(VALUE(INDEX(D_VAL,B730)&amp;""),""))</f>
        <v/>
      </c>
      <c r="F730">
        <f>IF(B730="","",F729+(C730&lt;&gt;C729))</f>
        <v/>
      </c>
      <c r="G730">
        <f>IF(B730="","",F730&amp;"|"&amp;D730)</f>
        <v/>
      </c>
    </row>
    <row r="731">
      <c r="A731" t="n">
        <v>720</v>
      </c>
      <c r="B731">
        <f>IF(A731&lt;=$B$4,$B$3+A731-1,"")</f>
        <v/>
      </c>
      <c r="C731">
        <f>IF(B731="","",INDEX(D_LOT,B731)&amp;"")</f>
        <v/>
      </c>
      <c r="D731">
        <f>IF(B731="","",INDEX(D_SEQ,B731))</f>
        <v/>
      </c>
      <c r="E731">
        <f>IF(B731="","",IFERROR(VALUE(INDEX(D_VAL,B731)&amp;""),""))</f>
        <v/>
      </c>
      <c r="F731">
        <f>IF(B731="","",F730+(C731&lt;&gt;C730))</f>
        <v/>
      </c>
      <c r="G731">
        <f>IF(B731="","",F731&amp;"|"&amp;D731)</f>
        <v/>
      </c>
    </row>
    <row r="732">
      <c r="A732" t="n">
        <v>721</v>
      </c>
      <c r="B732">
        <f>IF(A732&lt;=$B$4,$B$3+A732-1,"")</f>
        <v/>
      </c>
      <c r="C732">
        <f>IF(B732="","",INDEX(D_LOT,B732)&amp;"")</f>
        <v/>
      </c>
      <c r="D732">
        <f>IF(B732="","",INDEX(D_SEQ,B732))</f>
        <v/>
      </c>
      <c r="E732">
        <f>IF(B732="","",IFERROR(VALUE(INDEX(D_VAL,B732)&amp;""),""))</f>
        <v/>
      </c>
      <c r="F732">
        <f>IF(B732="","",F731+(C732&lt;&gt;C731))</f>
        <v/>
      </c>
      <c r="G732">
        <f>IF(B732="","",F732&amp;"|"&amp;D732)</f>
        <v/>
      </c>
    </row>
    <row r="733">
      <c r="A733" t="n">
        <v>722</v>
      </c>
      <c r="B733">
        <f>IF(A733&lt;=$B$4,$B$3+A733-1,"")</f>
        <v/>
      </c>
      <c r="C733">
        <f>IF(B733="","",INDEX(D_LOT,B733)&amp;"")</f>
        <v/>
      </c>
      <c r="D733">
        <f>IF(B733="","",INDEX(D_SEQ,B733))</f>
        <v/>
      </c>
      <c r="E733">
        <f>IF(B733="","",IFERROR(VALUE(INDEX(D_VAL,B733)&amp;""),""))</f>
        <v/>
      </c>
      <c r="F733">
        <f>IF(B733="","",F732+(C733&lt;&gt;C732))</f>
        <v/>
      </c>
      <c r="G733">
        <f>IF(B733="","",F733&amp;"|"&amp;D733)</f>
        <v/>
      </c>
    </row>
    <row r="734">
      <c r="A734" t="n">
        <v>723</v>
      </c>
      <c r="B734">
        <f>IF(A734&lt;=$B$4,$B$3+A734-1,"")</f>
        <v/>
      </c>
      <c r="C734">
        <f>IF(B734="","",INDEX(D_LOT,B734)&amp;"")</f>
        <v/>
      </c>
      <c r="D734">
        <f>IF(B734="","",INDEX(D_SEQ,B734))</f>
        <v/>
      </c>
      <c r="E734">
        <f>IF(B734="","",IFERROR(VALUE(INDEX(D_VAL,B734)&amp;""),""))</f>
        <v/>
      </c>
      <c r="F734">
        <f>IF(B734="","",F733+(C734&lt;&gt;C733))</f>
        <v/>
      </c>
      <c r="G734">
        <f>IF(B734="","",F734&amp;"|"&amp;D734)</f>
        <v/>
      </c>
    </row>
    <row r="735">
      <c r="A735" t="n">
        <v>724</v>
      </c>
      <c r="B735">
        <f>IF(A735&lt;=$B$4,$B$3+A735-1,"")</f>
        <v/>
      </c>
      <c r="C735">
        <f>IF(B735="","",INDEX(D_LOT,B735)&amp;"")</f>
        <v/>
      </c>
      <c r="D735">
        <f>IF(B735="","",INDEX(D_SEQ,B735))</f>
        <v/>
      </c>
      <c r="E735">
        <f>IF(B735="","",IFERROR(VALUE(INDEX(D_VAL,B735)&amp;""),""))</f>
        <v/>
      </c>
      <c r="F735">
        <f>IF(B735="","",F734+(C735&lt;&gt;C734))</f>
        <v/>
      </c>
      <c r="G735">
        <f>IF(B735="","",F735&amp;"|"&amp;D735)</f>
        <v/>
      </c>
    </row>
    <row r="736">
      <c r="A736" t="n">
        <v>725</v>
      </c>
      <c r="B736">
        <f>IF(A736&lt;=$B$4,$B$3+A736-1,"")</f>
        <v/>
      </c>
      <c r="C736">
        <f>IF(B736="","",INDEX(D_LOT,B736)&amp;"")</f>
        <v/>
      </c>
      <c r="D736">
        <f>IF(B736="","",INDEX(D_SEQ,B736))</f>
        <v/>
      </c>
      <c r="E736">
        <f>IF(B736="","",IFERROR(VALUE(INDEX(D_VAL,B736)&amp;""),""))</f>
        <v/>
      </c>
      <c r="F736">
        <f>IF(B736="","",F735+(C736&lt;&gt;C735))</f>
        <v/>
      </c>
      <c r="G736">
        <f>IF(B736="","",F736&amp;"|"&amp;D736)</f>
        <v/>
      </c>
    </row>
    <row r="737">
      <c r="A737" t="n">
        <v>726</v>
      </c>
      <c r="B737">
        <f>IF(A737&lt;=$B$4,$B$3+A737-1,"")</f>
        <v/>
      </c>
      <c r="C737">
        <f>IF(B737="","",INDEX(D_LOT,B737)&amp;"")</f>
        <v/>
      </c>
      <c r="D737">
        <f>IF(B737="","",INDEX(D_SEQ,B737))</f>
        <v/>
      </c>
      <c r="E737">
        <f>IF(B737="","",IFERROR(VALUE(INDEX(D_VAL,B737)&amp;""),""))</f>
        <v/>
      </c>
      <c r="F737">
        <f>IF(B737="","",F736+(C737&lt;&gt;C736))</f>
        <v/>
      </c>
      <c r="G737">
        <f>IF(B737="","",F737&amp;"|"&amp;D737)</f>
        <v/>
      </c>
    </row>
    <row r="738">
      <c r="A738" t="n">
        <v>727</v>
      </c>
      <c r="B738">
        <f>IF(A738&lt;=$B$4,$B$3+A738-1,"")</f>
        <v/>
      </c>
      <c r="C738">
        <f>IF(B738="","",INDEX(D_LOT,B738)&amp;"")</f>
        <v/>
      </c>
      <c r="D738">
        <f>IF(B738="","",INDEX(D_SEQ,B738))</f>
        <v/>
      </c>
      <c r="E738">
        <f>IF(B738="","",IFERROR(VALUE(INDEX(D_VAL,B738)&amp;""),""))</f>
        <v/>
      </c>
      <c r="F738">
        <f>IF(B738="","",F737+(C738&lt;&gt;C737))</f>
        <v/>
      </c>
      <c r="G738">
        <f>IF(B738="","",F738&amp;"|"&amp;D738)</f>
        <v/>
      </c>
    </row>
    <row r="739">
      <c r="A739" t="n">
        <v>728</v>
      </c>
      <c r="B739">
        <f>IF(A739&lt;=$B$4,$B$3+A739-1,"")</f>
        <v/>
      </c>
      <c r="C739">
        <f>IF(B739="","",INDEX(D_LOT,B739)&amp;"")</f>
        <v/>
      </c>
      <c r="D739">
        <f>IF(B739="","",INDEX(D_SEQ,B739))</f>
        <v/>
      </c>
      <c r="E739">
        <f>IF(B739="","",IFERROR(VALUE(INDEX(D_VAL,B739)&amp;""),""))</f>
        <v/>
      </c>
      <c r="F739">
        <f>IF(B739="","",F738+(C739&lt;&gt;C738))</f>
        <v/>
      </c>
      <c r="G739">
        <f>IF(B739="","",F739&amp;"|"&amp;D739)</f>
        <v/>
      </c>
    </row>
    <row r="740">
      <c r="A740" t="n">
        <v>729</v>
      </c>
      <c r="B740">
        <f>IF(A740&lt;=$B$4,$B$3+A740-1,"")</f>
        <v/>
      </c>
      <c r="C740">
        <f>IF(B740="","",INDEX(D_LOT,B740)&amp;"")</f>
        <v/>
      </c>
      <c r="D740">
        <f>IF(B740="","",INDEX(D_SEQ,B740))</f>
        <v/>
      </c>
      <c r="E740">
        <f>IF(B740="","",IFERROR(VALUE(INDEX(D_VAL,B740)&amp;""),""))</f>
        <v/>
      </c>
      <c r="F740">
        <f>IF(B740="","",F739+(C740&lt;&gt;C739))</f>
        <v/>
      </c>
      <c r="G740">
        <f>IF(B740="","",F740&amp;"|"&amp;D740)</f>
        <v/>
      </c>
    </row>
    <row r="741">
      <c r="A741" t="n">
        <v>730</v>
      </c>
      <c r="B741">
        <f>IF(A741&lt;=$B$4,$B$3+A741-1,"")</f>
        <v/>
      </c>
      <c r="C741">
        <f>IF(B741="","",INDEX(D_LOT,B741)&amp;"")</f>
        <v/>
      </c>
      <c r="D741">
        <f>IF(B741="","",INDEX(D_SEQ,B741))</f>
        <v/>
      </c>
      <c r="E741">
        <f>IF(B741="","",IFERROR(VALUE(INDEX(D_VAL,B741)&amp;""),""))</f>
        <v/>
      </c>
      <c r="F741">
        <f>IF(B741="","",F740+(C741&lt;&gt;C740))</f>
        <v/>
      </c>
      <c r="G741">
        <f>IF(B741="","",F741&amp;"|"&amp;D741)</f>
        <v/>
      </c>
    </row>
    <row r="742">
      <c r="A742" t="n">
        <v>731</v>
      </c>
      <c r="B742">
        <f>IF(A742&lt;=$B$4,$B$3+A742-1,"")</f>
        <v/>
      </c>
      <c r="C742">
        <f>IF(B742="","",INDEX(D_LOT,B742)&amp;"")</f>
        <v/>
      </c>
      <c r="D742">
        <f>IF(B742="","",INDEX(D_SEQ,B742))</f>
        <v/>
      </c>
      <c r="E742">
        <f>IF(B742="","",IFERROR(VALUE(INDEX(D_VAL,B742)&amp;""),""))</f>
        <v/>
      </c>
      <c r="F742">
        <f>IF(B742="","",F741+(C742&lt;&gt;C741))</f>
        <v/>
      </c>
      <c r="G742">
        <f>IF(B742="","",F742&amp;"|"&amp;D742)</f>
        <v/>
      </c>
    </row>
    <row r="743">
      <c r="A743" t="n">
        <v>732</v>
      </c>
      <c r="B743">
        <f>IF(A743&lt;=$B$4,$B$3+A743-1,"")</f>
        <v/>
      </c>
      <c r="C743">
        <f>IF(B743="","",INDEX(D_LOT,B743)&amp;"")</f>
        <v/>
      </c>
      <c r="D743">
        <f>IF(B743="","",INDEX(D_SEQ,B743))</f>
        <v/>
      </c>
      <c r="E743">
        <f>IF(B743="","",IFERROR(VALUE(INDEX(D_VAL,B743)&amp;""),""))</f>
        <v/>
      </c>
      <c r="F743">
        <f>IF(B743="","",F742+(C743&lt;&gt;C742))</f>
        <v/>
      </c>
      <c r="G743">
        <f>IF(B743="","",F743&amp;"|"&amp;D743)</f>
        <v/>
      </c>
    </row>
    <row r="744">
      <c r="A744" t="n">
        <v>733</v>
      </c>
      <c r="B744">
        <f>IF(A744&lt;=$B$4,$B$3+A744-1,"")</f>
        <v/>
      </c>
      <c r="C744">
        <f>IF(B744="","",INDEX(D_LOT,B744)&amp;"")</f>
        <v/>
      </c>
      <c r="D744">
        <f>IF(B744="","",INDEX(D_SEQ,B744))</f>
        <v/>
      </c>
      <c r="E744">
        <f>IF(B744="","",IFERROR(VALUE(INDEX(D_VAL,B744)&amp;""),""))</f>
        <v/>
      </c>
      <c r="F744">
        <f>IF(B744="","",F743+(C744&lt;&gt;C743))</f>
        <v/>
      </c>
      <c r="G744">
        <f>IF(B744="","",F744&amp;"|"&amp;D744)</f>
        <v/>
      </c>
    </row>
    <row r="745">
      <c r="A745" t="n">
        <v>734</v>
      </c>
      <c r="B745">
        <f>IF(A745&lt;=$B$4,$B$3+A745-1,"")</f>
        <v/>
      </c>
      <c r="C745">
        <f>IF(B745="","",INDEX(D_LOT,B745)&amp;"")</f>
        <v/>
      </c>
      <c r="D745">
        <f>IF(B745="","",INDEX(D_SEQ,B745))</f>
        <v/>
      </c>
      <c r="E745">
        <f>IF(B745="","",IFERROR(VALUE(INDEX(D_VAL,B745)&amp;""),""))</f>
        <v/>
      </c>
      <c r="F745">
        <f>IF(B745="","",F744+(C745&lt;&gt;C744))</f>
        <v/>
      </c>
      <c r="G745">
        <f>IF(B745="","",F745&amp;"|"&amp;D745)</f>
        <v/>
      </c>
    </row>
    <row r="746">
      <c r="A746" t="n">
        <v>735</v>
      </c>
      <c r="B746">
        <f>IF(A746&lt;=$B$4,$B$3+A746-1,"")</f>
        <v/>
      </c>
      <c r="C746">
        <f>IF(B746="","",INDEX(D_LOT,B746)&amp;"")</f>
        <v/>
      </c>
      <c r="D746">
        <f>IF(B746="","",INDEX(D_SEQ,B746))</f>
        <v/>
      </c>
      <c r="E746">
        <f>IF(B746="","",IFERROR(VALUE(INDEX(D_VAL,B746)&amp;""),""))</f>
        <v/>
      </c>
      <c r="F746">
        <f>IF(B746="","",F745+(C746&lt;&gt;C745))</f>
        <v/>
      </c>
      <c r="G746">
        <f>IF(B746="","",F746&amp;"|"&amp;D746)</f>
        <v/>
      </c>
    </row>
    <row r="747">
      <c r="A747" t="n">
        <v>736</v>
      </c>
      <c r="B747">
        <f>IF(A747&lt;=$B$4,$B$3+A747-1,"")</f>
        <v/>
      </c>
      <c r="C747">
        <f>IF(B747="","",INDEX(D_LOT,B747)&amp;"")</f>
        <v/>
      </c>
      <c r="D747">
        <f>IF(B747="","",INDEX(D_SEQ,B747))</f>
        <v/>
      </c>
      <c r="E747">
        <f>IF(B747="","",IFERROR(VALUE(INDEX(D_VAL,B747)&amp;""),""))</f>
        <v/>
      </c>
      <c r="F747">
        <f>IF(B747="","",F746+(C747&lt;&gt;C746))</f>
        <v/>
      </c>
      <c r="G747">
        <f>IF(B747="","",F747&amp;"|"&amp;D747)</f>
        <v/>
      </c>
    </row>
    <row r="748">
      <c r="A748" t="n">
        <v>737</v>
      </c>
      <c r="B748">
        <f>IF(A748&lt;=$B$4,$B$3+A748-1,"")</f>
        <v/>
      </c>
      <c r="C748">
        <f>IF(B748="","",INDEX(D_LOT,B748)&amp;"")</f>
        <v/>
      </c>
      <c r="D748">
        <f>IF(B748="","",INDEX(D_SEQ,B748))</f>
        <v/>
      </c>
      <c r="E748">
        <f>IF(B748="","",IFERROR(VALUE(INDEX(D_VAL,B748)&amp;""),""))</f>
        <v/>
      </c>
      <c r="F748">
        <f>IF(B748="","",F747+(C748&lt;&gt;C747))</f>
        <v/>
      </c>
      <c r="G748">
        <f>IF(B748="","",F748&amp;"|"&amp;D748)</f>
        <v/>
      </c>
    </row>
    <row r="749">
      <c r="A749" t="n">
        <v>738</v>
      </c>
      <c r="B749">
        <f>IF(A749&lt;=$B$4,$B$3+A749-1,"")</f>
        <v/>
      </c>
      <c r="C749">
        <f>IF(B749="","",INDEX(D_LOT,B749)&amp;"")</f>
        <v/>
      </c>
      <c r="D749">
        <f>IF(B749="","",INDEX(D_SEQ,B749))</f>
        <v/>
      </c>
      <c r="E749">
        <f>IF(B749="","",IFERROR(VALUE(INDEX(D_VAL,B749)&amp;""),""))</f>
        <v/>
      </c>
      <c r="F749">
        <f>IF(B749="","",F748+(C749&lt;&gt;C748))</f>
        <v/>
      </c>
      <c r="G749">
        <f>IF(B749="","",F749&amp;"|"&amp;D749)</f>
        <v/>
      </c>
    </row>
    <row r="750">
      <c r="A750" t="n">
        <v>739</v>
      </c>
      <c r="B750">
        <f>IF(A750&lt;=$B$4,$B$3+A750-1,"")</f>
        <v/>
      </c>
      <c r="C750">
        <f>IF(B750="","",INDEX(D_LOT,B750)&amp;"")</f>
        <v/>
      </c>
      <c r="D750">
        <f>IF(B750="","",INDEX(D_SEQ,B750))</f>
        <v/>
      </c>
      <c r="E750">
        <f>IF(B750="","",IFERROR(VALUE(INDEX(D_VAL,B750)&amp;""),""))</f>
        <v/>
      </c>
      <c r="F750">
        <f>IF(B750="","",F749+(C750&lt;&gt;C749))</f>
        <v/>
      </c>
      <c r="G750">
        <f>IF(B750="","",F750&amp;"|"&amp;D750)</f>
        <v/>
      </c>
    </row>
    <row r="751">
      <c r="A751" t="n">
        <v>740</v>
      </c>
      <c r="B751">
        <f>IF(A751&lt;=$B$4,$B$3+A751-1,"")</f>
        <v/>
      </c>
      <c r="C751">
        <f>IF(B751="","",INDEX(D_LOT,B751)&amp;"")</f>
        <v/>
      </c>
      <c r="D751">
        <f>IF(B751="","",INDEX(D_SEQ,B751))</f>
        <v/>
      </c>
      <c r="E751">
        <f>IF(B751="","",IFERROR(VALUE(INDEX(D_VAL,B751)&amp;""),""))</f>
        <v/>
      </c>
      <c r="F751">
        <f>IF(B751="","",F750+(C751&lt;&gt;C750))</f>
        <v/>
      </c>
      <c r="G751">
        <f>IF(B751="","",F751&amp;"|"&amp;D751)</f>
        <v/>
      </c>
    </row>
    <row r="752">
      <c r="A752" t="n">
        <v>741</v>
      </c>
      <c r="B752">
        <f>IF(A752&lt;=$B$4,$B$3+A752-1,"")</f>
        <v/>
      </c>
      <c r="C752">
        <f>IF(B752="","",INDEX(D_LOT,B752)&amp;"")</f>
        <v/>
      </c>
      <c r="D752">
        <f>IF(B752="","",INDEX(D_SEQ,B752))</f>
        <v/>
      </c>
      <c r="E752">
        <f>IF(B752="","",IFERROR(VALUE(INDEX(D_VAL,B752)&amp;""),""))</f>
        <v/>
      </c>
      <c r="F752">
        <f>IF(B752="","",F751+(C752&lt;&gt;C751))</f>
        <v/>
      </c>
      <c r="G752">
        <f>IF(B752="","",F752&amp;"|"&amp;D752)</f>
        <v/>
      </c>
    </row>
    <row r="753">
      <c r="A753" t="n">
        <v>742</v>
      </c>
      <c r="B753">
        <f>IF(A753&lt;=$B$4,$B$3+A753-1,"")</f>
        <v/>
      </c>
      <c r="C753">
        <f>IF(B753="","",INDEX(D_LOT,B753)&amp;"")</f>
        <v/>
      </c>
      <c r="D753">
        <f>IF(B753="","",INDEX(D_SEQ,B753))</f>
        <v/>
      </c>
      <c r="E753">
        <f>IF(B753="","",IFERROR(VALUE(INDEX(D_VAL,B753)&amp;""),""))</f>
        <v/>
      </c>
      <c r="F753">
        <f>IF(B753="","",F752+(C753&lt;&gt;C752))</f>
        <v/>
      </c>
      <c r="G753">
        <f>IF(B753="","",F753&amp;"|"&amp;D753)</f>
        <v/>
      </c>
    </row>
    <row r="754">
      <c r="A754" t="n">
        <v>743</v>
      </c>
      <c r="B754">
        <f>IF(A754&lt;=$B$4,$B$3+A754-1,"")</f>
        <v/>
      </c>
      <c r="C754">
        <f>IF(B754="","",INDEX(D_LOT,B754)&amp;"")</f>
        <v/>
      </c>
      <c r="D754">
        <f>IF(B754="","",INDEX(D_SEQ,B754))</f>
        <v/>
      </c>
      <c r="E754">
        <f>IF(B754="","",IFERROR(VALUE(INDEX(D_VAL,B754)&amp;""),""))</f>
        <v/>
      </c>
      <c r="F754">
        <f>IF(B754="","",F753+(C754&lt;&gt;C753))</f>
        <v/>
      </c>
      <c r="G754">
        <f>IF(B754="","",F754&amp;"|"&amp;D754)</f>
        <v/>
      </c>
    </row>
    <row r="755">
      <c r="A755" t="n">
        <v>744</v>
      </c>
      <c r="B755">
        <f>IF(A755&lt;=$B$4,$B$3+A755-1,"")</f>
        <v/>
      </c>
      <c r="C755">
        <f>IF(B755="","",INDEX(D_LOT,B755)&amp;"")</f>
        <v/>
      </c>
      <c r="D755">
        <f>IF(B755="","",INDEX(D_SEQ,B755))</f>
        <v/>
      </c>
      <c r="E755">
        <f>IF(B755="","",IFERROR(VALUE(INDEX(D_VAL,B755)&amp;""),""))</f>
        <v/>
      </c>
      <c r="F755">
        <f>IF(B755="","",F754+(C755&lt;&gt;C754))</f>
        <v/>
      </c>
      <c r="G755">
        <f>IF(B755="","",F755&amp;"|"&amp;D755)</f>
        <v/>
      </c>
    </row>
    <row r="756">
      <c r="A756" t="n">
        <v>745</v>
      </c>
      <c r="B756">
        <f>IF(A756&lt;=$B$4,$B$3+A756-1,"")</f>
        <v/>
      </c>
      <c r="C756">
        <f>IF(B756="","",INDEX(D_LOT,B756)&amp;"")</f>
        <v/>
      </c>
      <c r="D756">
        <f>IF(B756="","",INDEX(D_SEQ,B756))</f>
        <v/>
      </c>
      <c r="E756">
        <f>IF(B756="","",IFERROR(VALUE(INDEX(D_VAL,B756)&amp;""),""))</f>
        <v/>
      </c>
      <c r="F756">
        <f>IF(B756="","",F755+(C756&lt;&gt;C755))</f>
        <v/>
      </c>
      <c r="G756">
        <f>IF(B756="","",F756&amp;"|"&amp;D756)</f>
        <v/>
      </c>
    </row>
    <row r="757">
      <c r="A757" t="n">
        <v>746</v>
      </c>
      <c r="B757">
        <f>IF(A757&lt;=$B$4,$B$3+A757-1,"")</f>
        <v/>
      </c>
      <c r="C757">
        <f>IF(B757="","",INDEX(D_LOT,B757)&amp;"")</f>
        <v/>
      </c>
      <c r="D757">
        <f>IF(B757="","",INDEX(D_SEQ,B757))</f>
        <v/>
      </c>
      <c r="E757">
        <f>IF(B757="","",IFERROR(VALUE(INDEX(D_VAL,B757)&amp;""),""))</f>
        <v/>
      </c>
      <c r="F757">
        <f>IF(B757="","",F756+(C757&lt;&gt;C756))</f>
        <v/>
      </c>
      <c r="G757">
        <f>IF(B757="","",F757&amp;"|"&amp;D757)</f>
        <v/>
      </c>
    </row>
    <row r="758">
      <c r="A758" t="n">
        <v>747</v>
      </c>
      <c r="B758">
        <f>IF(A758&lt;=$B$4,$B$3+A758-1,"")</f>
        <v/>
      </c>
      <c r="C758">
        <f>IF(B758="","",INDEX(D_LOT,B758)&amp;"")</f>
        <v/>
      </c>
      <c r="D758">
        <f>IF(B758="","",INDEX(D_SEQ,B758))</f>
        <v/>
      </c>
      <c r="E758">
        <f>IF(B758="","",IFERROR(VALUE(INDEX(D_VAL,B758)&amp;""),""))</f>
        <v/>
      </c>
      <c r="F758">
        <f>IF(B758="","",F757+(C758&lt;&gt;C757))</f>
        <v/>
      </c>
      <c r="G758">
        <f>IF(B758="","",F758&amp;"|"&amp;D758)</f>
        <v/>
      </c>
    </row>
    <row r="759">
      <c r="A759" t="n">
        <v>748</v>
      </c>
      <c r="B759">
        <f>IF(A759&lt;=$B$4,$B$3+A759-1,"")</f>
        <v/>
      </c>
      <c r="C759">
        <f>IF(B759="","",INDEX(D_LOT,B759)&amp;"")</f>
        <v/>
      </c>
      <c r="D759">
        <f>IF(B759="","",INDEX(D_SEQ,B759))</f>
        <v/>
      </c>
      <c r="E759">
        <f>IF(B759="","",IFERROR(VALUE(INDEX(D_VAL,B759)&amp;""),""))</f>
        <v/>
      </c>
      <c r="F759">
        <f>IF(B759="","",F758+(C759&lt;&gt;C758))</f>
        <v/>
      </c>
      <c r="G759">
        <f>IF(B759="","",F759&amp;"|"&amp;D759)</f>
        <v/>
      </c>
    </row>
    <row r="760">
      <c r="A760" t="n">
        <v>749</v>
      </c>
      <c r="B760">
        <f>IF(A760&lt;=$B$4,$B$3+A760-1,"")</f>
        <v/>
      </c>
      <c r="C760">
        <f>IF(B760="","",INDEX(D_LOT,B760)&amp;"")</f>
        <v/>
      </c>
      <c r="D760">
        <f>IF(B760="","",INDEX(D_SEQ,B760))</f>
        <v/>
      </c>
      <c r="E760">
        <f>IF(B760="","",IFERROR(VALUE(INDEX(D_VAL,B760)&amp;""),""))</f>
        <v/>
      </c>
      <c r="F760">
        <f>IF(B760="","",F759+(C760&lt;&gt;C759))</f>
        <v/>
      </c>
      <c r="G760">
        <f>IF(B760="","",F760&amp;"|"&amp;D760)</f>
        <v/>
      </c>
    </row>
    <row r="761">
      <c r="A761" t="n">
        <v>750</v>
      </c>
      <c r="B761">
        <f>IF(A761&lt;=$B$4,$B$3+A761-1,"")</f>
        <v/>
      </c>
      <c r="C761">
        <f>IF(B761="","",INDEX(D_LOT,B761)&amp;"")</f>
        <v/>
      </c>
      <c r="D761">
        <f>IF(B761="","",INDEX(D_SEQ,B761))</f>
        <v/>
      </c>
      <c r="E761">
        <f>IF(B761="","",IFERROR(VALUE(INDEX(D_VAL,B761)&amp;""),""))</f>
        <v/>
      </c>
      <c r="F761">
        <f>IF(B761="","",F760+(C761&lt;&gt;C760))</f>
        <v/>
      </c>
      <c r="G761">
        <f>IF(B761="","",F761&amp;"|"&amp;D761)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08E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9D08E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B30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29" t="inlineStr">
        <is>
          <t>SPC Chart 설정 안내 (처음 한 번만)</t>
        </is>
      </c>
    </row>
    <row r="2">
      <c r="B2" s="30" t="inlineStr"/>
    </row>
    <row r="3">
      <c r="B3" s="30" t="inlineStr">
        <is>
          <t>이 파일은 공용 폴더의 두 CSV 를 '결과기록' / '측정데이터' 시트로 불러와 'SPC Chart' 시트를 자동으로 채웁니다.</t>
        </is>
      </c>
    </row>
    <row r="4">
      <c r="B4" s="30" t="inlineStr">
        <is>
          <t>CSV 는 공정능력 HTML 프로그램의 [결과 저장] 버튼으로 쌓입니다.  폴더: \\AAS-PTK-CERAMIC\ASKR_Production\01_MFG-line\00. 공정관리\01. Element Line\09. 전반\전반\Chip\선행,양산data\2026</t>
        </is>
      </c>
    </row>
    <row r="5">
      <c r="B5" s="30" t="inlineStr"/>
    </row>
    <row r="6">
      <c r="B6" s="31" t="inlineStr">
        <is>
          <t>1단계. '결과기록' 연결</t>
        </is>
      </c>
    </row>
    <row r="7">
      <c r="B7" s="30" t="inlineStr">
        <is>
          <t xml:space="preserve">  ① 메뉴 [데이터] → [새 쿼리] → [기타 원본에서] → [빈 쿼리]</t>
        </is>
      </c>
    </row>
    <row r="8">
      <c r="B8" s="30" t="inlineStr">
        <is>
          <t xml:space="preserve">  ② 열린 파워 쿼리 편집기에서 [보기] → [고급 편집기] → 내용을 모두 지우고 아래 '결과기록 쿼리' 코드를 붙여넣기 → [완료]</t>
        </is>
      </c>
    </row>
    <row r="9">
      <c r="B9" s="30" t="inlineStr">
        <is>
          <t xml:space="preserve">  ③ 오른쪽 '쿼리 설정'의 이름을 결과기록 으로 바꾸기</t>
        </is>
      </c>
    </row>
    <row r="10">
      <c r="B10" s="30" t="inlineStr">
        <is>
          <t xml:space="preserve">  ④ [홈] → [닫기 및 다음으로 로드] → '표' 선택, '기존 워크시트' 선택 → 결과기록 시트의 A1 셀 클릭 → [확인]</t>
        </is>
      </c>
    </row>
    <row r="11">
      <c r="B11" s="30" t="inlineStr"/>
    </row>
    <row r="12">
      <c r="B12" s="31" t="inlineStr">
        <is>
          <t>2단계. '측정데이터' 연결</t>
        </is>
      </c>
    </row>
    <row r="13">
      <c r="B13" s="30" t="inlineStr">
        <is>
          <t xml:space="preserve">  1단계와 같은 방법으로 아래 '측정데이터 쿼리' 코드를 붙여넣고, 이름은 측정데이터, 로드 위치는 측정데이터 시트의 A1 셀</t>
        </is>
      </c>
    </row>
    <row r="14">
      <c r="B14" s="30" t="inlineStr"/>
    </row>
    <row r="15">
      <c r="B15" s="31" t="inlineStr">
        <is>
          <t>3단계. 자동 새로 고침 (두 쿼리 모두)</t>
        </is>
      </c>
    </row>
    <row r="16">
      <c r="B16" s="30" t="inlineStr">
        <is>
          <t xml:space="preserve">  [데이터] → [연결] (또는 [쿼리 및 연결]) → 쿼리 오른쪽 클릭 → [속성]</t>
        </is>
      </c>
    </row>
    <row r="17">
      <c r="B17" s="30" t="inlineStr">
        <is>
          <t xml:space="preserve">  → '다음 간격으로 새로 고침' 체크, 1 분 /  '파일을 열 때 데이터 새로 고침' 체크 → [확인]</t>
        </is>
      </c>
    </row>
    <row r="18">
      <c r="B18" s="30" t="inlineStr"/>
    </row>
    <row r="19">
      <c r="B19" s="31" t="inlineStr">
        <is>
          <t>사용 방법</t>
        </is>
      </c>
    </row>
    <row r="20">
      <c r="B20" s="30" t="inlineStr">
        <is>
          <t xml:space="preserve">  · 'SPC Chart' 시트 C3 칸(노란색)에서 기록ID 를 고르면 그 기록이 표시됩니다. 비워두면 가장 최근 기록이 표시됩니다.</t>
        </is>
      </c>
    </row>
    <row r="21">
      <c r="B21" s="30" t="inlineStr">
        <is>
          <t xml:space="preserve">  · 새 기록이 저장되면 1분 안에 자동으로 반영됩니다. 바로 보려면 [데이터] → [모두 새로 고침].</t>
        </is>
      </c>
    </row>
    <row r="22">
      <c r="B22" s="30" t="inlineStr">
        <is>
          <t xml:space="preserve">  · 한 기록에 Lot 은 최대 30개, 측정 Data 표에는 Lot 당 20개까지 표시됩니다 (통계·관리도 값은 HTML 이 계산한 값을 그대로 씀).</t>
        </is>
      </c>
    </row>
    <row r="23">
      <c r="B23" s="30" t="inlineStr">
        <is>
          <t xml:space="preserve">  · 결과기록 / 측정데이터 / 계산 시트는 직접 고치지 마세요. (새로 고침 때 덮어써집니다)</t>
        </is>
      </c>
    </row>
    <row r="24">
      <c r="B24" s="30" t="inlineStr">
        <is>
          <t xml:space="preserve">  · CSV 파일을 엑셀로 직접 열어두면 HTML 이 저장하지 못합니다. 이 SPC 파일은 열어두어도 괜찮습니다.</t>
        </is>
      </c>
    </row>
    <row r="25">
      <c r="B25" s="30" t="inlineStr"/>
    </row>
    <row r="26">
      <c r="B26" s="32" t="inlineStr">
        <is>
          <t>결과기록 쿼리</t>
        </is>
      </c>
    </row>
    <row r="27" ht="95" customHeight="1">
      <c r="B27" s="33" t="inlineStr">
        <is>
          <t>let
    경로 = "\\AAS-PTK-CERAMIC\ASKR_Production\01_MFG-line\00. 공정관리\01. Element Line\09. 전반\전반\Chip\선행,양산data\2026\공정능력_결과기록.csv",
    원본 = Csv.Document(File.Contents(경로), [Delimiter=",", Encoding=65001, QuoteStyle=QuoteStyle.Csv]),
    머리글 = Table.PromoteHeaders(원본, [PromoteAllScalars=true])
in
    머리글</t>
        </is>
      </c>
    </row>
    <row r="29">
      <c r="B29" s="34" t="inlineStr">
        <is>
          <t>측정데이터 쿼리</t>
        </is>
      </c>
    </row>
    <row r="30" ht="110" customHeight="1">
      <c r="B30" s="33" t="inlineStr">
        <is>
          <t>let
    경로 = "\\AAS-PTK-CERAMIC\ASKR_Production\01_MFG-line\00. 공정관리\01. Element Line\09. 전반\전반\Chip\선행,양산data\2026\공정능력_측정데이터.csv",
    원본 = Csv.Document(File.Contents(경로), [Delimiter=",", Encoding=65001, QuoteStyle=QuoteStyle.Csv]),
    머리글 = Table.PromoteHeaders(원본, [PromoteAllScalars=true]),
    형식 = Table.TransformColumnTypes(머리글, {{"순번", Int64.Type}, {"값", type number}}, "en-US")
in
    형식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2026-10-21T09:12:48Z</dcterms:created>
  <dcterms:modified xmlns:dcterms="http://purl.org/dc/terms/" xmlns:xsi="http://www.w3.org/2001/XMLSchema-instance" xsi:type="dcterms:W3CDTF">2026-10-21T09:12:48Z</dcterms:modified>
</cp:coreProperties>
</file>